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169_Tooth\Project\RawTables\"/>
    </mc:Choice>
  </mc:AlternateContent>
  <bookViews>
    <workbookView minimized="1" xWindow="0" yWindow="0" windowWidth="28800" windowHeight="12525"/>
  </bookViews>
  <sheets>
    <sheet name="t_levelBean" sheetId="1" r:id="rId1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E19" i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D15" i="1"/>
  <c r="D14" i="1" s="1"/>
  <c r="D13" i="1" s="1"/>
  <c r="D12" i="1" s="1"/>
  <c r="D11" i="1" s="1"/>
  <c r="D10" i="1" s="1"/>
  <c r="D9" i="1" s="1"/>
  <c r="D8" i="1" s="1"/>
  <c r="D7" i="1" s="1"/>
  <c r="D6" i="1" s="1"/>
  <c r="D5" i="1" s="1"/>
  <c r="C11" i="1"/>
  <c r="C10" i="1" s="1"/>
  <c r="C9" i="1" s="1"/>
  <c r="C8" i="1" s="1"/>
  <c r="C7" i="1" s="1"/>
  <c r="C6" i="1" s="1"/>
  <c r="C5" i="1" s="1"/>
</calcChain>
</file>

<file path=xl/sharedStrings.xml><?xml version="1.0" encoding="utf-8"?>
<sst xmlns="http://schemas.openxmlformats.org/spreadsheetml/2006/main" count="16" uniqueCount="14">
  <si>
    <t>t_id</t>
  </si>
  <si>
    <t>占位</t>
  </si>
  <si>
    <r>
      <rPr>
        <sz val="11"/>
        <color theme="1"/>
        <rFont val="宋体"/>
        <charset val="134"/>
        <scheme val="minor"/>
      </rPr>
      <t>int</t>
    </r>
    <r>
      <rPr>
        <sz val="11"/>
        <color theme="1"/>
        <rFont val="宋体"/>
        <charset val="134"/>
        <scheme val="minor"/>
      </rPr>
      <t>64</t>
    </r>
  </si>
  <si>
    <t>int32</t>
  </si>
  <si>
    <r>
      <rPr>
        <sz val="11"/>
        <color theme="1"/>
        <rFont val="宋体"/>
        <charset val="134"/>
        <scheme val="minor"/>
      </rPr>
      <t>int</t>
    </r>
    <r>
      <rPr>
        <sz val="11"/>
        <color theme="1"/>
        <rFont val="宋体"/>
        <charset val="134"/>
        <scheme val="minor"/>
      </rPr>
      <t>32</t>
    </r>
  </si>
  <si>
    <t>Id</t>
  </si>
  <si>
    <t>1人局</t>
    <phoneticPr fontId="1" type="noConversion"/>
  </si>
  <si>
    <t>2人局</t>
    <phoneticPr fontId="1" type="noConversion"/>
  </si>
  <si>
    <t>3人局</t>
    <phoneticPr fontId="1" type="noConversion"/>
  </si>
  <si>
    <t>4人局</t>
    <phoneticPr fontId="1" type="noConversion"/>
  </si>
  <si>
    <r>
      <t>t_1Player</t>
    </r>
    <r>
      <rPr>
        <sz val="11"/>
        <color theme="1"/>
        <rFont val="宋体"/>
        <charset val="134"/>
        <scheme val="minor"/>
      </rPr>
      <t>_exp</t>
    </r>
    <phoneticPr fontId="1" type="noConversion"/>
  </si>
  <si>
    <r>
      <t>t_2Player</t>
    </r>
    <r>
      <rPr>
        <sz val="11"/>
        <color theme="1"/>
        <rFont val="宋体"/>
        <charset val="134"/>
        <scheme val="minor"/>
      </rPr>
      <t>_exp</t>
    </r>
    <phoneticPr fontId="1" type="noConversion"/>
  </si>
  <si>
    <r>
      <t>t_3Player</t>
    </r>
    <r>
      <rPr>
        <sz val="11"/>
        <color theme="1"/>
        <rFont val="宋体"/>
        <charset val="134"/>
        <scheme val="minor"/>
      </rPr>
      <t>_exp</t>
    </r>
    <phoneticPr fontId="1" type="noConversion"/>
  </si>
  <si>
    <r>
      <t>t_4Player</t>
    </r>
    <r>
      <rPr>
        <sz val="11"/>
        <color theme="1"/>
        <rFont val="宋体"/>
        <charset val="134"/>
        <scheme val="minor"/>
      </rPr>
      <t>_exp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</si>
</sst>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tabSelected="1" workbookViewId="0">
      <selection activeCell="I24" sqref="I24"/>
    </sheetView>
  </sheetViews>
  <sheetFormatPr defaultColWidth="9" defaultRowHeight="13.5" x14ac:dyDescent="0.15"/>
  <cols>
    <col min="1" max="1" width="9" style="1"/>
    <col min="2" max="2" width="15" style="1" bestFit="1" customWidth="1"/>
    <col min="3" max="3" width="19.5" style="1" customWidth="1"/>
    <col min="4" max="4" width="14.625" style="1" customWidth="1"/>
    <col min="5" max="5" width="18.75" style="1" customWidth="1"/>
    <col min="6" max="16384" width="9" style="1"/>
  </cols>
  <sheetData>
    <row r="1" spans="1:5" x14ac:dyDescent="0.15">
      <c r="A1" s="1" t="s">
        <v>0</v>
      </c>
      <c r="B1" s="2" t="s">
        <v>10</v>
      </c>
      <c r="C1" s="2" t="s">
        <v>11</v>
      </c>
      <c r="D1" s="2" t="s">
        <v>12</v>
      </c>
      <c r="E1" s="2" t="s">
        <v>13</v>
      </c>
    </row>
    <row r="2" spans="1:5" x14ac:dyDescent="0.15">
      <c r="A2" s="1" t="s">
        <v>1</v>
      </c>
    </row>
    <row r="3" spans="1:5" x14ac:dyDescent="0.15">
      <c r="A3" s="3" t="s">
        <v>2</v>
      </c>
      <c r="B3" s="3" t="s">
        <v>3</v>
      </c>
      <c r="C3" s="3" t="s">
        <v>4</v>
      </c>
      <c r="D3" s="3" t="s">
        <v>3</v>
      </c>
      <c r="E3" s="3" t="s">
        <v>3</v>
      </c>
    </row>
    <row r="4" spans="1:5" x14ac:dyDescent="0.15">
      <c r="A4" s="1" t="s">
        <v>5</v>
      </c>
      <c r="B4" s="2" t="s">
        <v>6</v>
      </c>
      <c r="C4" s="2" t="s">
        <v>7</v>
      </c>
      <c r="D4" s="2" t="s">
        <v>8</v>
      </c>
      <c r="E4" s="2" t="s">
        <v>9</v>
      </c>
    </row>
    <row r="5" spans="1:5" x14ac:dyDescent="0.15">
      <c r="A5" s="1">
        <v>0</v>
      </c>
      <c r="B5" s="1">
        <f>C5+C6</f>
        <v>684</v>
      </c>
      <c r="C5" s="1">
        <f t="shared" ref="C5:C11" si="0">ROUNDDOWN(C6+(2400*2/8 - 250*2)/7,0)</f>
        <v>349</v>
      </c>
      <c r="D5" s="1">
        <f t="shared" ref="D5:D15" si="1">ROUNDDOWN(D6+(2400*2/12 - 150*2)/11,0)</f>
        <v>249</v>
      </c>
      <c r="E5" s="1">
        <f t="shared" ref="E5:E18" si="2">ROUNDDOWN(E6+(2400*2/16 - 100*2)/15,0)</f>
        <v>195</v>
      </c>
    </row>
    <row r="6" spans="1:5" x14ac:dyDescent="0.15">
      <c r="A6" s="1">
        <v>1</v>
      </c>
      <c r="B6" s="1">
        <f>C7+C8</f>
        <v>628</v>
      </c>
      <c r="C6" s="1">
        <f t="shared" si="0"/>
        <v>335</v>
      </c>
      <c r="D6" s="1">
        <f t="shared" si="1"/>
        <v>240</v>
      </c>
      <c r="E6" s="1">
        <f t="shared" si="2"/>
        <v>189</v>
      </c>
    </row>
    <row r="7" spans="1:5" x14ac:dyDescent="0.15">
      <c r="A7" s="1">
        <v>2</v>
      </c>
      <c r="B7" s="1">
        <f>C9+C10</f>
        <v>572</v>
      </c>
      <c r="C7" s="1">
        <f t="shared" si="0"/>
        <v>321</v>
      </c>
      <c r="D7" s="1">
        <f t="shared" si="1"/>
        <v>231</v>
      </c>
      <c r="E7" s="1">
        <f t="shared" si="2"/>
        <v>183</v>
      </c>
    </row>
    <row r="8" spans="1:5" x14ac:dyDescent="0.15">
      <c r="A8" s="1">
        <v>3</v>
      </c>
      <c r="B8" s="1">
        <f>C11+C12</f>
        <v>516</v>
      </c>
      <c r="C8" s="1">
        <f t="shared" si="0"/>
        <v>307</v>
      </c>
      <c r="D8" s="1">
        <f t="shared" si="1"/>
        <v>222</v>
      </c>
      <c r="E8" s="1">
        <f t="shared" si="2"/>
        <v>177</v>
      </c>
    </row>
    <row r="9" spans="1:5" x14ac:dyDescent="0.15">
      <c r="A9" s="1">
        <v>4</v>
      </c>
      <c r="C9" s="1">
        <f t="shared" si="0"/>
        <v>293</v>
      </c>
      <c r="D9" s="1">
        <f t="shared" si="1"/>
        <v>213</v>
      </c>
      <c r="E9" s="1">
        <f t="shared" si="2"/>
        <v>171</v>
      </c>
    </row>
    <row r="10" spans="1:5" x14ac:dyDescent="0.15">
      <c r="A10" s="1">
        <v>5</v>
      </c>
      <c r="C10" s="1">
        <f t="shared" si="0"/>
        <v>279</v>
      </c>
      <c r="D10" s="1">
        <f t="shared" si="1"/>
        <v>204</v>
      </c>
      <c r="E10" s="1">
        <f t="shared" si="2"/>
        <v>165</v>
      </c>
    </row>
    <row r="11" spans="1:5" x14ac:dyDescent="0.15">
      <c r="A11" s="1">
        <v>6</v>
      </c>
      <c r="C11" s="1">
        <f>ROUNDDOWN(C12+(2400*2/8 - 250*2)/7,0)</f>
        <v>265</v>
      </c>
      <c r="D11" s="1">
        <f t="shared" si="1"/>
        <v>195</v>
      </c>
      <c r="E11" s="1">
        <f t="shared" si="2"/>
        <v>159</v>
      </c>
    </row>
    <row r="12" spans="1:5" x14ac:dyDescent="0.15">
      <c r="A12" s="1">
        <v>7</v>
      </c>
      <c r="C12" s="1">
        <v>251</v>
      </c>
      <c r="D12" s="1">
        <f t="shared" si="1"/>
        <v>186</v>
      </c>
      <c r="E12" s="1">
        <f t="shared" si="2"/>
        <v>153</v>
      </c>
    </row>
    <row r="13" spans="1:5" x14ac:dyDescent="0.15">
      <c r="A13" s="1">
        <v>8</v>
      </c>
      <c r="D13" s="1">
        <f t="shared" si="1"/>
        <v>177</v>
      </c>
      <c r="E13" s="1">
        <f t="shared" si="2"/>
        <v>147</v>
      </c>
    </row>
    <row r="14" spans="1:5" x14ac:dyDescent="0.15">
      <c r="A14" s="1">
        <v>9</v>
      </c>
      <c r="D14" s="1">
        <f t="shared" si="1"/>
        <v>168</v>
      </c>
      <c r="E14" s="1">
        <f t="shared" si="2"/>
        <v>141</v>
      </c>
    </row>
    <row r="15" spans="1:5" x14ac:dyDescent="0.15">
      <c r="A15" s="1">
        <v>10</v>
      </c>
      <c r="D15" s="1">
        <f>ROUNDDOWN(D16+(2400*2/12 - 150*2)/11,0)</f>
        <v>159</v>
      </c>
      <c r="E15" s="1">
        <f t="shared" si="2"/>
        <v>135</v>
      </c>
    </row>
    <row r="16" spans="1:5" x14ac:dyDescent="0.15">
      <c r="A16" s="1">
        <v>11</v>
      </c>
      <c r="D16" s="1">
        <v>150</v>
      </c>
      <c r="E16" s="1">
        <f t="shared" si="2"/>
        <v>129</v>
      </c>
    </row>
    <row r="17" spans="1:5" x14ac:dyDescent="0.15">
      <c r="A17" s="1">
        <v>12</v>
      </c>
      <c r="E17" s="1">
        <f t="shared" si="2"/>
        <v>123</v>
      </c>
    </row>
    <row r="18" spans="1:5" x14ac:dyDescent="0.15">
      <c r="A18" s="1">
        <v>13</v>
      </c>
      <c r="E18" s="1">
        <f t="shared" si="2"/>
        <v>117</v>
      </c>
    </row>
    <row r="19" spans="1:5" x14ac:dyDescent="0.15">
      <c r="A19" s="1">
        <v>14</v>
      </c>
      <c r="E19" s="1">
        <f>ROUNDDOWN(E20+(2400*2/16 - 100*2)/15,0)</f>
        <v>111</v>
      </c>
    </row>
    <row r="20" spans="1:5" x14ac:dyDescent="0.15">
      <c r="A20" s="1">
        <v>15</v>
      </c>
      <c r="E20" s="1">
        <v>105</v>
      </c>
    </row>
  </sheetData>
  <phoneticPr fontId="1" type="noConversion"/>
  <pageMargins left="0.75" right="0.75" top="1" bottom="1" header="0.51180555555555596" footer="0.51180555555555596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t_levelBean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2018-12-10T14:30:00Z</dcterms:created>
  <dcterms:modified xsi:type="dcterms:W3CDTF">2026-07-24T08:02:23Z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239927663F544239B9A6DD9C8EC45EB1</vt:lpwstr>
  </property>
  <property fmtid="{D5CDD505-2E9C-101B-9397-08002B2CF9AE}" pid="4" name="CalculationRule">
    <vt:i4>0</vt:i4>
  </property>
</Properties>
</file>