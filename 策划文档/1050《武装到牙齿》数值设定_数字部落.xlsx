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69_Tooth\策划文档\"/>
    </mc:Choice>
  </mc:AlternateContent>
  <bookViews>
    <workbookView xWindow="0" yWindow="0" windowWidth="22260" windowHeight="12645" activeTab="2"/>
  </bookViews>
  <sheets>
    <sheet name="属性及攻击伤害" sheetId="1" r:id="rId1"/>
    <sheet name="天赋设定" sheetId="2" r:id="rId2"/>
    <sheet name="关卡模式怪物属性" sheetId="3" r:id="rId3"/>
    <sheet name="无尽模式怪物属性" sheetId="4" r:id="rId4"/>
    <sheet name="局内升级" sheetId="5" r:id="rId5"/>
    <sheet name="金币收益" sheetId="6" r:id="rId6"/>
  </sheets>
  <calcPr calcId="162913"/>
</workbook>
</file>

<file path=xl/calcChain.xml><?xml version="1.0" encoding="utf-8"?>
<calcChain xmlns="http://schemas.openxmlformats.org/spreadsheetml/2006/main">
  <c r="X27" i="3" l="1"/>
  <c r="X22" i="3"/>
  <c r="X17" i="3"/>
  <c r="X12" i="3"/>
  <c r="X7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5" i="3"/>
  <c r="V4" i="3"/>
  <c r="V3" i="3"/>
  <c r="E16" i="5"/>
  <c r="E15" i="5" s="1"/>
  <c r="E14" i="5" s="1"/>
  <c r="E13" i="5" s="1"/>
  <c r="E12" i="5" s="1"/>
  <c r="E11" i="5" s="1"/>
  <c r="E10" i="5" s="1"/>
  <c r="E9" i="5" s="1"/>
  <c r="E8" i="5" s="1"/>
  <c r="E7" i="5" s="1"/>
  <c r="E6" i="5" s="1"/>
  <c r="E5" i="5" s="1"/>
  <c r="E4" i="5" s="1"/>
  <c r="E3" i="5" s="1"/>
  <c r="E2" i="5" s="1"/>
  <c r="D12" i="5"/>
  <c r="D11" i="5" s="1"/>
  <c r="D10" i="5" s="1"/>
  <c r="D9" i="5" s="1"/>
  <c r="D8" i="5" s="1"/>
  <c r="D7" i="5" s="1"/>
  <c r="D6" i="5" s="1"/>
  <c r="D5" i="5" s="1"/>
  <c r="D4" i="5" s="1"/>
  <c r="D3" i="5" s="1"/>
  <c r="D2" i="5" s="1"/>
  <c r="C8" i="5"/>
  <c r="C7" i="5" s="1"/>
  <c r="C6" i="5" s="1"/>
  <c r="B5" i="5"/>
  <c r="C3" i="3"/>
  <c r="E23" i="3"/>
  <c r="E18" i="3"/>
  <c r="E13" i="3"/>
  <c r="E8" i="3"/>
  <c r="E3" i="3"/>
  <c r="B4" i="5" l="1"/>
  <c r="C5" i="5"/>
  <c r="C4" i="5" s="1"/>
  <c r="E9" i="3"/>
  <c r="E10" i="3" s="1"/>
  <c r="E11" i="3" s="1"/>
  <c r="E12" i="3" s="1"/>
  <c r="K24" i="3"/>
  <c r="K25" i="3" s="1"/>
  <c r="K26" i="3" s="1"/>
  <c r="K27" i="3" s="1"/>
  <c r="I24" i="3"/>
  <c r="I25" i="3" s="1"/>
  <c r="I26" i="3" s="1"/>
  <c r="I27" i="3" s="1"/>
  <c r="G24" i="3"/>
  <c r="G25" i="3" s="1"/>
  <c r="G26" i="3" s="1"/>
  <c r="G27" i="3" s="1"/>
  <c r="E24" i="3"/>
  <c r="E25" i="3" s="1"/>
  <c r="E26" i="3" s="1"/>
  <c r="E27" i="3" s="1"/>
  <c r="K23" i="3"/>
  <c r="I23" i="3"/>
  <c r="G23" i="3"/>
  <c r="C23" i="3"/>
  <c r="C24" i="3" s="1"/>
  <c r="C25" i="3" s="1"/>
  <c r="C26" i="3" s="1"/>
  <c r="C27" i="3" s="1"/>
  <c r="I19" i="3"/>
  <c r="I20" i="3" s="1"/>
  <c r="I21" i="3" s="1"/>
  <c r="I22" i="3" s="1"/>
  <c r="G19" i="3"/>
  <c r="G20" i="3" s="1"/>
  <c r="G21" i="3" s="1"/>
  <c r="G22" i="3" s="1"/>
  <c r="E19" i="3"/>
  <c r="E20" i="3" s="1"/>
  <c r="E21" i="3" s="1"/>
  <c r="E22" i="3" s="1"/>
  <c r="C19" i="3"/>
  <c r="C20" i="3" s="1"/>
  <c r="C21" i="3" s="1"/>
  <c r="C22" i="3" s="1"/>
  <c r="K18" i="3"/>
  <c r="K19" i="3" s="1"/>
  <c r="K20" i="3" s="1"/>
  <c r="K21" i="3" s="1"/>
  <c r="K22" i="3" s="1"/>
  <c r="I18" i="3"/>
  <c r="G18" i="3"/>
  <c r="C18" i="3"/>
  <c r="E14" i="3"/>
  <c r="E15" i="3" s="1"/>
  <c r="E16" i="3" s="1"/>
  <c r="E17" i="3" s="1"/>
  <c r="K13" i="3"/>
  <c r="K14" i="3" s="1"/>
  <c r="K15" i="3" s="1"/>
  <c r="K16" i="3" s="1"/>
  <c r="K17" i="3" s="1"/>
  <c r="I13" i="3"/>
  <c r="I14" i="3" s="1"/>
  <c r="I15" i="3" s="1"/>
  <c r="I16" i="3" s="1"/>
  <c r="I17" i="3" s="1"/>
  <c r="G13" i="3"/>
  <c r="G14" i="3" s="1"/>
  <c r="G15" i="3" s="1"/>
  <c r="G16" i="3" s="1"/>
  <c r="G17" i="3" s="1"/>
  <c r="C14" i="3"/>
  <c r="C15" i="3" s="1"/>
  <c r="C16" i="3" s="1"/>
  <c r="C17" i="3" s="1"/>
  <c r="C13" i="3"/>
  <c r="S13" i="3"/>
  <c r="Q13" i="3"/>
  <c r="Q14" i="3" s="1"/>
  <c r="Q15" i="3" s="1"/>
  <c r="Q16" i="3" s="1"/>
  <c r="Q17" i="3" s="1"/>
  <c r="Q18" i="3" s="1"/>
  <c r="Q19" i="3" s="1"/>
  <c r="Q20" i="3" s="1"/>
  <c r="Q21" i="3" s="1"/>
  <c r="Q22" i="3" s="1"/>
  <c r="O13" i="3"/>
  <c r="M13" i="3"/>
  <c r="S14" i="3"/>
  <c r="S15" i="3" s="1"/>
  <c r="S16" i="3" s="1"/>
  <c r="S17" i="3" s="1"/>
  <c r="S18" i="3" s="1"/>
  <c r="S19" i="3" s="1"/>
  <c r="S20" i="3" s="1"/>
  <c r="S21" i="3" s="1"/>
  <c r="S22" i="3" s="1"/>
  <c r="O14" i="3"/>
  <c r="O15" i="3" s="1"/>
  <c r="O16" i="3" s="1"/>
  <c r="O17" i="3" s="1"/>
  <c r="O18" i="3" s="1"/>
  <c r="O19" i="3" s="1"/>
  <c r="O20" i="3" s="1"/>
  <c r="O21" i="3" s="1"/>
  <c r="O22" i="3" s="1"/>
  <c r="M14" i="3"/>
  <c r="M15" i="3" s="1"/>
  <c r="M16" i="3" s="1"/>
  <c r="M17" i="3" s="1"/>
  <c r="M18" i="3" s="1"/>
  <c r="M19" i="3" s="1"/>
  <c r="M20" i="3" s="1"/>
  <c r="M21" i="3" s="1"/>
  <c r="M22" i="3" s="1"/>
  <c r="Z7" i="3"/>
  <c r="Z27" i="3"/>
  <c r="Z22" i="3"/>
  <c r="Z17" i="3"/>
  <c r="Z12" i="3"/>
  <c r="O10" i="3"/>
  <c r="O11" i="3" s="1"/>
  <c r="O12" i="3" s="1"/>
  <c r="S9" i="3"/>
  <c r="S10" i="3" s="1"/>
  <c r="S11" i="3" s="1"/>
  <c r="S12" i="3" s="1"/>
  <c r="Q9" i="3"/>
  <c r="Q10" i="3" s="1"/>
  <c r="Q11" i="3" s="1"/>
  <c r="Q12" i="3" s="1"/>
  <c r="O9" i="3"/>
  <c r="M9" i="3"/>
  <c r="M10" i="3" s="1"/>
  <c r="M11" i="3" s="1"/>
  <c r="M12" i="3" s="1"/>
  <c r="K8" i="3"/>
  <c r="U8" i="3" s="1"/>
  <c r="U9" i="3" s="1"/>
  <c r="U10" i="3" s="1"/>
  <c r="U11" i="3" s="1"/>
  <c r="U12" i="3" s="1"/>
  <c r="I8" i="3"/>
  <c r="I9" i="3" s="1"/>
  <c r="I10" i="3" s="1"/>
  <c r="I11" i="3" s="1"/>
  <c r="I12" i="3" s="1"/>
  <c r="G8" i="3"/>
  <c r="G9" i="3" s="1"/>
  <c r="G10" i="3" s="1"/>
  <c r="G11" i="3" s="1"/>
  <c r="G12" i="3" s="1"/>
  <c r="C8" i="3"/>
  <c r="C9" i="3" s="1"/>
  <c r="C10" i="3" s="1"/>
  <c r="C11" i="3" s="1"/>
  <c r="C12" i="3" s="1"/>
  <c r="K3" i="3"/>
  <c r="U3" i="3" s="1"/>
  <c r="U4" i="3" s="1"/>
  <c r="U5" i="3" s="1"/>
  <c r="U6" i="3" s="1"/>
  <c r="U7" i="3" s="1"/>
  <c r="I3" i="3"/>
  <c r="G3" i="3"/>
  <c r="B3" i="6"/>
  <c r="B2" i="6"/>
  <c r="B4" i="6" s="1"/>
  <c r="G2" i="2" s="1"/>
  <c r="G3" i="2" s="1"/>
  <c r="G201" i="4"/>
  <c r="C201" i="4"/>
  <c r="C200" i="4"/>
  <c r="C199" i="4"/>
  <c r="C198" i="4"/>
  <c r="C197" i="4"/>
  <c r="C196" i="4"/>
  <c r="E196" i="4" s="1"/>
  <c r="C195" i="4"/>
  <c r="C194" i="4"/>
  <c r="C193" i="4"/>
  <c r="C192" i="4"/>
  <c r="G191" i="4"/>
  <c r="C191" i="4"/>
  <c r="C190" i="4"/>
  <c r="C189" i="4"/>
  <c r="C188" i="4"/>
  <c r="C187" i="4"/>
  <c r="C186" i="4"/>
  <c r="E186" i="4" s="1"/>
  <c r="C185" i="4"/>
  <c r="C184" i="4"/>
  <c r="C183" i="4"/>
  <c r="C182" i="4"/>
  <c r="G181" i="4"/>
  <c r="C181" i="4"/>
  <c r="C180" i="4"/>
  <c r="C179" i="4"/>
  <c r="C178" i="4"/>
  <c r="C177" i="4"/>
  <c r="C176" i="4"/>
  <c r="E176" i="4" s="1"/>
  <c r="C175" i="4"/>
  <c r="C174" i="4"/>
  <c r="C173" i="4"/>
  <c r="C172" i="4"/>
  <c r="G171" i="4"/>
  <c r="C171" i="4"/>
  <c r="C170" i="4"/>
  <c r="C169" i="4"/>
  <c r="C168" i="4"/>
  <c r="C167" i="4"/>
  <c r="C166" i="4"/>
  <c r="E166" i="4" s="1"/>
  <c r="C165" i="4"/>
  <c r="C164" i="4"/>
  <c r="C163" i="4"/>
  <c r="C162" i="4"/>
  <c r="G161" i="4"/>
  <c r="C161" i="4"/>
  <c r="C160" i="4"/>
  <c r="C159" i="4"/>
  <c r="C158" i="4"/>
  <c r="C157" i="4"/>
  <c r="C156" i="4"/>
  <c r="E156" i="4" s="1"/>
  <c r="C155" i="4"/>
  <c r="C154" i="4"/>
  <c r="C153" i="4"/>
  <c r="C152" i="4"/>
  <c r="G151" i="4"/>
  <c r="C151" i="4"/>
  <c r="C150" i="4"/>
  <c r="C149" i="4"/>
  <c r="C148" i="4"/>
  <c r="C147" i="4"/>
  <c r="C146" i="4"/>
  <c r="E146" i="4" s="1"/>
  <c r="C145" i="4"/>
  <c r="C144" i="4"/>
  <c r="C143" i="4"/>
  <c r="C142" i="4"/>
  <c r="G141" i="4"/>
  <c r="C141" i="4"/>
  <c r="C140" i="4"/>
  <c r="C139" i="4"/>
  <c r="C138" i="4"/>
  <c r="C137" i="4"/>
  <c r="C136" i="4"/>
  <c r="E136" i="4" s="1"/>
  <c r="C135" i="4"/>
  <c r="C134" i="4"/>
  <c r="C133" i="4"/>
  <c r="C132" i="4"/>
  <c r="G131" i="4"/>
  <c r="C131" i="4"/>
  <c r="C130" i="4"/>
  <c r="C129" i="4"/>
  <c r="C128" i="4"/>
  <c r="C127" i="4"/>
  <c r="C126" i="4"/>
  <c r="E126" i="4" s="1"/>
  <c r="C125" i="4"/>
  <c r="C124" i="4"/>
  <c r="C123" i="4"/>
  <c r="C122" i="4"/>
  <c r="G121" i="4"/>
  <c r="C121" i="4"/>
  <c r="C120" i="4"/>
  <c r="C119" i="4"/>
  <c r="C118" i="4"/>
  <c r="C117" i="4"/>
  <c r="C116" i="4"/>
  <c r="E116" i="4" s="1"/>
  <c r="C115" i="4"/>
  <c r="C114" i="4"/>
  <c r="C113" i="4"/>
  <c r="C112" i="4"/>
  <c r="G111" i="4"/>
  <c r="C111" i="4"/>
  <c r="C110" i="4"/>
  <c r="C109" i="4"/>
  <c r="C108" i="4"/>
  <c r="C107" i="4"/>
  <c r="C106" i="4"/>
  <c r="E106" i="4" s="1"/>
  <c r="C105" i="4"/>
  <c r="C104" i="4"/>
  <c r="C103" i="4"/>
  <c r="C102" i="4"/>
  <c r="G101" i="4"/>
  <c r="C101" i="4"/>
  <c r="C100" i="4"/>
  <c r="C99" i="4"/>
  <c r="C98" i="4"/>
  <c r="C97" i="4"/>
  <c r="C96" i="4"/>
  <c r="E96" i="4" s="1"/>
  <c r="C95" i="4"/>
  <c r="C94" i="4"/>
  <c r="C93" i="4"/>
  <c r="C92" i="4"/>
  <c r="G91" i="4"/>
  <c r="C91" i="4"/>
  <c r="C90" i="4"/>
  <c r="C89" i="4"/>
  <c r="C88" i="4"/>
  <c r="C87" i="4"/>
  <c r="C86" i="4"/>
  <c r="E86" i="4" s="1"/>
  <c r="C85" i="4"/>
  <c r="C84" i="4"/>
  <c r="C83" i="4"/>
  <c r="M82" i="4"/>
  <c r="C82" i="4"/>
  <c r="C81" i="4"/>
  <c r="G81" i="4" s="1"/>
  <c r="C80" i="4"/>
  <c r="C79" i="4"/>
  <c r="C78" i="4"/>
  <c r="C77" i="4"/>
  <c r="C76" i="4"/>
  <c r="E76" i="4" s="1"/>
  <c r="C75" i="4"/>
  <c r="C74" i="4"/>
  <c r="C73" i="4"/>
  <c r="C72" i="4"/>
  <c r="C71" i="4"/>
  <c r="G71" i="4" s="1"/>
  <c r="C70" i="4"/>
  <c r="C69" i="4"/>
  <c r="C68" i="4"/>
  <c r="C67" i="4"/>
  <c r="C66" i="4"/>
  <c r="E66" i="4" s="1"/>
  <c r="C65" i="4"/>
  <c r="C64" i="4"/>
  <c r="C63" i="4"/>
  <c r="C62" i="4"/>
  <c r="M61" i="4"/>
  <c r="C61" i="4"/>
  <c r="G61" i="4" s="1"/>
  <c r="C60" i="4"/>
  <c r="C59" i="4"/>
  <c r="C58" i="4"/>
  <c r="C57" i="4"/>
  <c r="C56" i="4"/>
  <c r="E56" i="4" s="1"/>
  <c r="C55" i="4"/>
  <c r="C54" i="4"/>
  <c r="C53" i="4"/>
  <c r="C52" i="4"/>
  <c r="C51" i="4"/>
  <c r="G51" i="4" s="1"/>
  <c r="C50" i="4"/>
  <c r="C49" i="4"/>
  <c r="C48" i="4"/>
  <c r="C47" i="4"/>
  <c r="C46" i="4"/>
  <c r="E46" i="4" s="1"/>
  <c r="C45" i="4"/>
  <c r="C44" i="4"/>
  <c r="C43" i="4"/>
  <c r="C42" i="4"/>
  <c r="C41" i="4"/>
  <c r="G41" i="4" s="1"/>
  <c r="C40" i="4"/>
  <c r="C39" i="4"/>
  <c r="C38" i="4"/>
  <c r="C37" i="4"/>
  <c r="C36" i="4"/>
  <c r="E36" i="4" s="1"/>
  <c r="C35" i="4"/>
  <c r="C34" i="4"/>
  <c r="C33" i="4"/>
  <c r="C32" i="4"/>
  <c r="C31" i="4"/>
  <c r="G31" i="4" s="1"/>
  <c r="C30" i="4"/>
  <c r="C29" i="4"/>
  <c r="C28" i="4"/>
  <c r="C27" i="4"/>
  <c r="C26" i="4"/>
  <c r="E26" i="4" s="1"/>
  <c r="C25" i="4"/>
  <c r="C24" i="4"/>
  <c r="C23" i="4"/>
  <c r="C22" i="4"/>
  <c r="C21" i="4"/>
  <c r="G21" i="4" s="1"/>
  <c r="C20" i="4"/>
  <c r="C19" i="4"/>
  <c r="C18" i="4"/>
  <c r="C17" i="4"/>
  <c r="C16" i="4"/>
  <c r="E16" i="4" s="1"/>
  <c r="C15" i="4"/>
  <c r="C14" i="4"/>
  <c r="C13" i="4"/>
  <c r="C12" i="4"/>
  <c r="C11" i="4"/>
  <c r="G11" i="4" s="1"/>
  <c r="C10" i="4"/>
  <c r="C9" i="4"/>
  <c r="C8" i="4"/>
  <c r="C7" i="4"/>
  <c r="C6" i="4"/>
  <c r="E6" i="4" s="1"/>
  <c r="C5" i="4"/>
  <c r="C4" i="4"/>
  <c r="C3" i="4"/>
  <c r="M4" i="3"/>
  <c r="M5" i="3" s="1"/>
  <c r="M6" i="3" s="1"/>
  <c r="M7" i="3" s="1"/>
  <c r="M8" i="3" s="1"/>
  <c r="S3" i="3"/>
  <c r="S4" i="3" s="1"/>
  <c r="S5" i="3" s="1"/>
  <c r="S6" i="3" s="1"/>
  <c r="S7" i="3" s="1"/>
  <c r="S8" i="3" s="1"/>
  <c r="Q3" i="3"/>
  <c r="Q4" i="3" s="1"/>
  <c r="Q5" i="3" s="1"/>
  <c r="Q6" i="3" s="1"/>
  <c r="Q7" i="3" s="1"/>
  <c r="Q8" i="3" s="1"/>
  <c r="O3" i="3"/>
  <c r="O4" i="3" s="1"/>
  <c r="O5" i="3" s="1"/>
  <c r="O6" i="3" s="1"/>
  <c r="O7" i="3" s="1"/>
  <c r="O8" i="3" s="1"/>
  <c r="M3" i="3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D66" i="2"/>
  <c r="G74" i="2"/>
  <c r="F83" i="2"/>
  <c r="D67" i="2"/>
  <c r="F3" i="2"/>
  <c r="F4" i="2" s="1"/>
  <c r="F5" i="2" s="1"/>
  <c r="F6" i="2" s="1"/>
  <c r="F7" i="2" s="1"/>
  <c r="L57" i="1"/>
  <c r="I55" i="1"/>
  <c r="F55" i="1"/>
  <c r="C55" i="1"/>
  <c r="I54" i="1"/>
  <c r="V31" i="1"/>
  <c r="I59" i="1" s="1"/>
  <c r="P31" i="1"/>
  <c r="C59" i="1" s="1"/>
  <c r="F31" i="1"/>
  <c r="I30" i="1"/>
  <c r="V30" i="1" s="1"/>
  <c r="Y29" i="1"/>
  <c r="S29" i="1"/>
  <c r="F57" i="1" s="1"/>
  <c r="I29" i="1"/>
  <c r="V29" i="1" s="1"/>
  <c r="I57" i="1" s="1"/>
  <c r="Y27" i="1"/>
  <c r="L55" i="1" s="1"/>
  <c r="P27" i="1"/>
  <c r="L27" i="1"/>
  <c r="C27" i="1"/>
  <c r="V26" i="1"/>
  <c r="L23" i="1"/>
  <c r="K20" i="1"/>
  <c r="H20" i="1"/>
  <c r="E20" i="1"/>
  <c r="B20" i="1"/>
  <c r="K19" i="1"/>
  <c r="Y9" i="1"/>
  <c r="L30" i="1" s="1"/>
  <c r="Y30" i="1" s="1"/>
  <c r="V9" i="1"/>
  <c r="S9" i="1"/>
  <c r="F30" i="1" s="1"/>
  <c r="P9" i="1"/>
  <c r="C30" i="1" s="1"/>
  <c r="P30" i="1" s="1"/>
  <c r="C58" i="1" s="1"/>
  <c r="Y8" i="1"/>
  <c r="V8" i="1"/>
  <c r="S8" i="1"/>
  <c r="P8" i="1"/>
  <c r="C29" i="1" s="1"/>
  <c r="P29" i="1" s="1"/>
  <c r="C57" i="1" s="1"/>
  <c r="Y7" i="1"/>
  <c r="L28" i="1" s="1"/>
  <c r="Y28" i="1" s="1"/>
  <c r="L56" i="1" s="1"/>
  <c r="L7" i="1"/>
  <c r="I7" i="1"/>
  <c r="V7" i="1" s="1"/>
  <c r="I28" i="1" s="1"/>
  <c r="V28" i="1" s="1"/>
  <c r="I56" i="1" s="1"/>
  <c r="F7" i="1"/>
  <c r="S7" i="1" s="1"/>
  <c r="F28" i="1" s="1"/>
  <c r="S28" i="1" s="1"/>
  <c r="F56" i="1" s="1"/>
  <c r="C7" i="1"/>
  <c r="P7" i="1" s="1"/>
  <c r="C28" i="1" s="1"/>
  <c r="P28" i="1" s="1"/>
  <c r="C56" i="1" s="1"/>
  <c r="V6" i="1"/>
  <c r="Y5" i="1"/>
  <c r="L26" i="1" s="1"/>
  <c r="Y26" i="1" s="1"/>
  <c r="V5" i="1"/>
  <c r="S5" i="1"/>
  <c r="F26" i="1" s="1"/>
  <c r="S26" i="1" s="1"/>
  <c r="F54" i="1" s="1"/>
  <c r="P5" i="1"/>
  <c r="C26" i="1" s="1"/>
  <c r="P26" i="1" s="1"/>
  <c r="C54" i="1" s="1"/>
  <c r="P4" i="1"/>
  <c r="C25" i="1" s="1"/>
  <c r="P25" i="1" s="1"/>
  <c r="C53" i="1" s="1"/>
  <c r="L4" i="1"/>
  <c r="Y4" i="1" s="1"/>
  <c r="L25" i="1" s="1"/>
  <c r="Y25" i="1" s="1"/>
  <c r="L53" i="1" s="1"/>
  <c r="I4" i="1"/>
  <c r="V4" i="1" s="1"/>
  <c r="I25" i="1" s="1"/>
  <c r="V25" i="1" s="1"/>
  <c r="I53" i="1" s="1"/>
  <c r="F4" i="1"/>
  <c r="S4" i="1" s="1"/>
  <c r="F25" i="1" s="1"/>
  <c r="S25" i="1" s="1"/>
  <c r="F53" i="1" s="1"/>
  <c r="C4" i="1"/>
  <c r="S3" i="1"/>
  <c r="F24" i="1" s="1"/>
  <c r="S24" i="1" s="1"/>
  <c r="F52" i="1" s="1"/>
  <c r="P3" i="1"/>
  <c r="C24" i="1" s="1"/>
  <c r="P24" i="1" s="1"/>
  <c r="C52" i="1" s="1"/>
  <c r="L3" i="1"/>
  <c r="Y3" i="1" s="1"/>
  <c r="L24" i="1" s="1"/>
  <c r="Y24" i="1" s="1"/>
  <c r="L52" i="1" s="1"/>
  <c r="I3" i="1"/>
  <c r="V3" i="1" s="1"/>
  <c r="I24" i="1" s="1"/>
  <c r="V24" i="1" s="1"/>
  <c r="I52" i="1" s="1"/>
  <c r="F3" i="1"/>
  <c r="C3" i="1"/>
  <c r="Y2" i="1"/>
  <c r="V2" i="1"/>
  <c r="S2" i="1"/>
  <c r="L2" i="1"/>
  <c r="Y23" i="1" s="1"/>
  <c r="I2" i="1"/>
  <c r="V23" i="1" s="1"/>
  <c r="F2" i="1"/>
  <c r="S23" i="1" s="1"/>
  <c r="C2" i="1"/>
  <c r="P2" i="1" s="1"/>
  <c r="U18" i="3" l="1"/>
  <c r="U19" i="3" s="1"/>
  <c r="U20" i="3" s="1"/>
  <c r="U21" i="3" s="1"/>
  <c r="U22" i="3" s="1"/>
  <c r="U13" i="3"/>
  <c r="U14" i="3" s="1"/>
  <c r="U15" i="3" s="1"/>
  <c r="U16" i="3" s="1"/>
  <c r="U17" i="3" s="1"/>
  <c r="K9" i="3"/>
  <c r="K10" i="3" s="1"/>
  <c r="K11" i="3" s="1"/>
  <c r="K12" i="3" s="1"/>
  <c r="C3" i="5"/>
  <c r="C2" i="5" s="1"/>
  <c r="B2" i="5" s="1"/>
  <c r="B3" i="5"/>
  <c r="U23" i="3"/>
  <c r="U24" i="3" s="1"/>
  <c r="U25" i="3" s="1"/>
  <c r="U26" i="3" s="1"/>
  <c r="U27" i="3" s="1"/>
  <c r="E66" i="2"/>
  <c r="G65" i="2"/>
  <c r="G71" i="2"/>
  <c r="D78" i="2"/>
  <c r="H81" i="2"/>
  <c r="I81" i="2" s="1"/>
  <c r="G78" i="2"/>
  <c r="F72" i="2"/>
  <c r="G66" i="2"/>
  <c r="D79" i="2"/>
  <c r="F76" i="2"/>
  <c r="G81" i="2"/>
  <c r="G76" i="2"/>
  <c r="G69" i="2"/>
  <c r="G82" i="2"/>
  <c r="F65" i="2"/>
  <c r="D73" i="2"/>
  <c r="F71" i="2"/>
  <c r="F77" i="2"/>
  <c r="E78" i="2"/>
  <c r="G70" i="2"/>
  <c r="G77" i="2"/>
  <c r="U19" i="1"/>
  <c r="X19" i="1"/>
  <c r="R19" i="1"/>
  <c r="U41" i="1"/>
  <c r="U44" i="1" s="1"/>
  <c r="I51" i="1"/>
  <c r="L51" i="1"/>
  <c r="X41" i="1"/>
  <c r="X44" i="1"/>
  <c r="O19" i="1"/>
  <c r="C23" i="1"/>
  <c r="B41" i="1" s="1"/>
  <c r="G4" i="2"/>
  <c r="G5" i="2" s="1"/>
  <c r="G6" i="2" s="1"/>
  <c r="F8" i="2"/>
  <c r="F9" i="2" s="1"/>
  <c r="F10" i="2" s="1"/>
  <c r="F11" i="2" s="1"/>
  <c r="F12" i="2" s="1"/>
  <c r="I11" i="2"/>
  <c r="F51" i="1"/>
  <c r="E72" i="1" s="1"/>
  <c r="R44" i="1"/>
  <c r="E83" i="2"/>
  <c r="F66" i="2"/>
  <c r="D68" i="2"/>
  <c r="E73" i="2"/>
  <c r="H76" i="2"/>
  <c r="I76" i="2" s="1"/>
  <c r="F78" i="2"/>
  <c r="D80" i="2"/>
  <c r="G83" i="2"/>
  <c r="E71" i="2"/>
  <c r="H71" i="2"/>
  <c r="I71" i="2" s="1"/>
  <c r="F73" i="2"/>
  <c r="D75" i="2"/>
  <c r="E80" i="2"/>
  <c r="I6" i="2"/>
  <c r="H83" i="2"/>
  <c r="I83" i="2" s="1"/>
  <c r="B19" i="1"/>
  <c r="C4" i="3" s="1"/>
  <c r="C5" i="3" s="1"/>
  <c r="C6" i="3" s="1"/>
  <c r="C7" i="3" s="1"/>
  <c r="H66" i="2"/>
  <c r="I66" i="2" s="1"/>
  <c r="F68" i="2"/>
  <c r="D70" i="2"/>
  <c r="G73" i="2"/>
  <c r="E75" i="2"/>
  <c r="H78" i="2"/>
  <c r="I78" i="2" s="1"/>
  <c r="F80" i="2"/>
  <c r="D82" i="2"/>
  <c r="H74" i="2"/>
  <c r="I74" i="2" s="1"/>
  <c r="E19" i="1"/>
  <c r="F23" i="1"/>
  <c r="E44" i="1" s="1"/>
  <c r="D65" i="2"/>
  <c r="G68" i="2"/>
  <c r="E70" i="2"/>
  <c r="H73" i="2"/>
  <c r="I73" i="2" s="1"/>
  <c r="F75" i="2"/>
  <c r="D77" i="2"/>
  <c r="G80" i="2"/>
  <c r="E82" i="2"/>
  <c r="E68" i="2"/>
  <c r="H19" i="1"/>
  <c r="I23" i="1"/>
  <c r="H41" i="1" s="1"/>
  <c r="E65" i="2"/>
  <c r="H68" i="2"/>
  <c r="I68" i="2" s="1"/>
  <c r="F70" i="2"/>
  <c r="D72" i="2"/>
  <c r="G75" i="2"/>
  <c r="E77" i="2"/>
  <c r="H80" i="2"/>
  <c r="I80" i="2" s="1"/>
  <c r="F82" i="2"/>
  <c r="D84" i="2"/>
  <c r="P23" i="1"/>
  <c r="E67" i="2"/>
  <c r="H70" i="2"/>
  <c r="I70" i="2" s="1"/>
  <c r="D74" i="2"/>
  <c r="E79" i="2"/>
  <c r="H82" i="2"/>
  <c r="I82" i="2" s="1"/>
  <c r="F84" i="2"/>
  <c r="H65" i="2"/>
  <c r="I65" i="2" s="1"/>
  <c r="F67" i="2"/>
  <c r="D69" i="2"/>
  <c r="G72" i="2"/>
  <c r="E74" i="2"/>
  <c r="H77" i="2"/>
  <c r="I77" i="2" s="1"/>
  <c r="F79" i="2"/>
  <c r="D81" i="2"/>
  <c r="G84" i="2"/>
  <c r="E72" i="2"/>
  <c r="H75" i="2"/>
  <c r="I75" i="2" s="1"/>
  <c r="G67" i="2"/>
  <c r="E69" i="2"/>
  <c r="H72" i="2"/>
  <c r="I72" i="2" s="1"/>
  <c r="F74" i="2"/>
  <c r="D76" i="2"/>
  <c r="G79" i="2"/>
  <c r="E81" i="2"/>
  <c r="H84" i="2"/>
  <c r="I84" i="2" s="1"/>
  <c r="E84" i="2"/>
  <c r="H67" i="2"/>
  <c r="I67" i="2" s="1"/>
  <c r="F69" i="2"/>
  <c r="D71" i="2"/>
  <c r="E76" i="2"/>
  <c r="H79" i="2"/>
  <c r="I79" i="2" s="1"/>
  <c r="F81" i="2"/>
  <c r="D83" i="2"/>
  <c r="H69" i="2"/>
  <c r="I69" i="2" s="1"/>
  <c r="K69" i="1" l="1"/>
  <c r="K72" i="1"/>
  <c r="H69" i="1"/>
  <c r="H72" i="1" s="1"/>
  <c r="E4" i="3"/>
  <c r="B44" i="1"/>
  <c r="G4" i="3" s="1"/>
  <c r="G5" i="3" s="1"/>
  <c r="G6" i="3" s="1"/>
  <c r="G7" i="3" s="1"/>
  <c r="O41" i="1"/>
  <c r="O44" i="1" s="1"/>
  <c r="I4" i="3" s="1"/>
  <c r="I5" i="3" s="1"/>
  <c r="I6" i="3" s="1"/>
  <c r="I7" i="3" s="1"/>
  <c r="C51" i="1"/>
  <c r="F13" i="2"/>
  <c r="F14" i="2" s="1"/>
  <c r="F15" i="2" s="1"/>
  <c r="F16" i="2" s="1"/>
  <c r="F17" i="2" s="1"/>
  <c r="G7" i="2"/>
  <c r="G8" i="2" s="1"/>
  <c r="G9" i="2" s="1"/>
  <c r="G10" i="2" s="1"/>
  <c r="G11" i="2" s="1"/>
  <c r="J6" i="2"/>
  <c r="K41" i="1"/>
  <c r="K44" i="1" s="1"/>
  <c r="H44" i="1"/>
  <c r="S23" i="3" l="1"/>
  <c r="S24" i="3" s="1"/>
  <c r="S25" i="3" s="1"/>
  <c r="S26" i="3" s="1"/>
  <c r="S27" i="3" s="1"/>
  <c r="M23" i="3"/>
  <c r="M24" i="3" s="1"/>
  <c r="M25" i="3" s="1"/>
  <c r="M26" i="3" s="1"/>
  <c r="M27" i="3" s="1"/>
  <c r="O23" i="3"/>
  <c r="O24" i="3" s="1"/>
  <c r="O25" i="3" s="1"/>
  <c r="O26" i="3" s="1"/>
  <c r="O27" i="3" s="1"/>
  <c r="Q23" i="3"/>
  <c r="Q24" i="3" s="1"/>
  <c r="Q25" i="3" s="1"/>
  <c r="Q26" i="3" s="1"/>
  <c r="Q27" i="3" s="1"/>
  <c r="B69" i="1"/>
  <c r="B72" i="1"/>
  <c r="F18" i="2"/>
  <c r="F19" i="2" s="1"/>
  <c r="F20" i="2" s="1"/>
  <c r="F21" i="2" s="1"/>
  <c r="F22" i="2" s="1"/>
  <c r="I21" i="2"/>
  <c r="E5" i="3"/>
  <c r="AB4" i="3"/>
  <c r="G12" i="2"/>
  <c r="G13" i="2" s="1"/>
  <c r="G14" i="2" s="1"/>
  <c r="G15" i="2" s="1"/>
  <c r="G16" i="2" s="1"/>
  <c r="J11" i="2"/>
  <c r="I16" i="2"/>
  <c r="G17" i="2" l="1"/>
  <c r="G18" i="2" s="1"/>
  <c r="G19" i="2" s="1"/>
  <c r="G20" i="2" s="1"/>
  <c r="G21" i="2" s="1"/>
  <c r="J16" i="2"/>
  <c r="K4" i="3"/>
  <c r="K5" i="3" s="1"/>
  <c r="K6" i="3" s="1"/>
  <c r="K7" i="3" s="1"/>
  <c r="E6" i="3"/>
  <c r="AB5" i="3"/>
  <c r="F23" i="2"/>
  <c r="F24" i="2" s="1"/>
  <c r="F25" i="2" s="1"/>
  <c r="F26" i="2" s="1"/>
  <c r="F27" i="2" s="1"/>
  <c r="I26" i="2" l="1"/>
  <c r="F28" i="2"/>
  <c r="F29" i="2" s="1"/>
  <c r="F30" i="2" s="1"/>
  <c r="F31" i="2" s="1"/>
  <c r="F32" i="2" s="1"/>
  <c r="E7" i="3"/>
  <c r="AB6" i="3"/>
  <c r="G22" i="2"/>
  <c r="G23" i="2" s="1"/>
  <c r="G24" i="2" s="1"/>
  <c r="G25" i="2" s="1"/>
  <c r="G26" i="2" s="1"/>
  <c r="J21" i="2"/>
  <c r="I31" i="2" l="1"/>
  <c r="F33" i="2"/>
  <c r="F34" i="2" s="1"/>
  <c r="F35" i="2" s="1"/>
  <c r="F36" i="2" s="1"/>
  <c r="F37" i="2" s="1"/>
  <c r="G27" i="2"/>
  <c r="G28" i="2" s="1"/>
  <c r="G29" i="2" s="1"/>
  <c r="G30" i="2" s="1"/>
  <c r="G31" i="2" s="1"/>
  <c r="J26" i="2"/>
  <c r="AB7" i="3"/>
  <c r="AB8" i="3" l="1"/>
  <c r="F38" i="2"/>
  <c r="F39" i="2" s="1"/>
  <c r="F40" i="2" s="1"/>
  <c r="F41" i="2" s="1"/>
  <c r="F42" i="2" s="1"/>
  <c r="G32" i="2"/>
  <c r="G33" i="2" s="1"/>
  <c r="G34" i="2" s="1"/>
  <c r="G35" i="2" s="1"/>
  <c r="G36" i="2" s="1"/>
  <c r="J31" i="2"/>
  <c r="I36" i="2"/>
  <c r="F43" i="2" l="1"/>
  <c r="F44" i="2" s="1"/>
  <c r="F45" i="2" s="1"/>
  <c r="F46" i="2" s="1"/>
  <c r="F47" i="2" s="1"/>
  <c r="G37" i="2"/>
  <c r="G38" i="2" s="1"/>
  <c r="G39" i="2" s="1"/>
  <c r="G40" i="2" s="1"/>
  <c r="G41" i="2" s="1"/>
  <c r="J36" i="2"/>
  <c r="I41" i="2"/>
  <c r="AB9" i="3"/>
  <c r="AB10" i="3" l="1"/>
  <c r="I46" i="2"/>
  <c r="F48" i="2"/>
  <c r="F49" i="2" s="1"/>
  <c r="F50" i="2" s="1"/>
  <c r="G42" i="2"/>
  <c r="G43" i="2" s="1"/>
  <c r="G44" i="2" s="1"/>
  <c r="G45" i="2" s="1"/>
  <c r="G46" i="2" s="1"/>
  <c r="J41" i="2"/>
  <c r="G47" i="2" l="1"/>
  <c r="G48" i="2" s="1"/>
  <c r="G49" i="2" s="1"/>
  <c r="G50" i="2" s="1"/>
  <c r="J51" i="2" s="1"/>
  <c r="J46" i="2"/>
  <c r="I51" i="2"/>
  <c r="AB11" i="3"/>
  <c r="AB12" i="3" l="1"/>
  <c r="AB13" i="3" l="1"/>
  <c r="AB14" i="3" l="1"/>
  <c r="AB15" i="3" l="1"/>
  <c r="AB16" i="3" l="1"/>
  <c r="AB17" i="3" l="1"/>
  <c r="AB18" i="3" l="1"/>
  <c r="AB19" i="3" l="1"/>
  <c r="AB20" i="3" l="1"/>
  <c r="AB21" i="3" l="1"/>
  <c r="AB22" i="3" l="1"/>
  <c r="AB23" i="3" l="1"/>
  <c r="AB24" i="3" l="1"/>
  <c r="AB25" i="3" l="1"/>
  <c r="AB26" i="3" l="1"/>
  <c r="AB27" i="3"/>
</calcChain>
</file>

<file path=xl/sharedStrings.xml><?xml version="1.0" encoding="utf-8"?>
<sst xmlns="http://schemas.openxmlformats.org/spreadsheetml/2006/main" count="402" uniqueCount="115">
  <si>
    <t>1级</t>
  </si>
  <si>
    <t>角色1：快速射击</t>
  </si>
  <si>
    <t>角色2：持续伤害</t>
  </si>
  <si>
    <t>角色3：范围伤害</t>
  </si>
  <si>
    <t>角色4：穿透</t>
  </si>
  <si>
    <t>2级</t>
  </si>
  <si>
    <t>角色1</t>
  </si>
  <si>
    <t>角色2</t>
  </si>
  <si>
    <t>角色3</t>
  </si>
  <si>
    <t>角色4</t>
  </si>
  <si>
    <t>攻击</t>
  </si>
  <si>
    <t>暴击</t>
  </si>
  <si>
    <t>暴击伤害</t>
  </si>
  <si>
    <t>速度(次/秒)</t>
  </si>
  <si>
    <t>状态触发间隔</t>
  </si>
  <si>
    <t>伤害加深</t>
  </si>
  <si>
    <t>伤害范围</t>
  </si>
  <si>
    <t>技能伤害</t>
  </si>
  <si>
    <t>状态技能伤害</t>
  </si>
  <si>
    <t>天赋增加</t>
  </si>
  <si>
    <t>升级效果1</t>
  </si>
  <si>
    <t>攻击力</t>
  </si>
  <si>
    <t>速度</t>
  </si>
  <si>
    <t>DPS</t>
  </si>
  <si>
    <t>每秒造成伤害=</t>
  </si>
  <si>
    <t>攻击*技能伤害*(1+暴击率*暴击伤害)*伤害加深*攻击次数*伤害范围</t>
  </si>
  <si>
    <t>3级</t>
  </si>
  <si>
    <t>4级</t>
  </si>
  <si>
    <t>被动技能伤害</t>
  </si>
  <si>
    <t>升级效果2</t>
  </si>
  <si>
    <t>升级效果3</t>
  </si>
  <si>
    <t>每5次攻击后，你的下一次普攻会向面前发出一道攻击范围为5的冲击波,每次触发冲击波后，使你造成的伤害提升15%，持续3秒</t>
  </si>
  <si>
    <t>Buff附带减速效果，状态触发间隔变为0.25秒/次，并使目标受到的伤害加深20%</t>
  </si>
  <si>
    <t>发出的炮弹爆炸的地方会留下一圈范围为5的火焰地面，对经过的敌人造成持续5秒的灼烧伤害，期间敌人受到的暴击伤害提高25%</t>
  </si>
  <si>
    <t>箭矢击中目标时会分裂成2只小箭，每只小箭造成伤害为原伤害的25%，并使被击中的目标受到暴击的概率提升20%</t>
  </si>
  <si>
    <t>附加效果</t>
  </si>
  <si>
    <t>最终DPS</t>
  </si>
  <si>
    <t>5级</t>
  </si>
  <si>
    <t>状态时间</t>
  </si>
  <si>
    <t>升级效果4</t>
  </si>
  <si>
    <t>先在你每2次攻击，就会向面前发出一道攻击范围为5的冲击波,每次触发冲击波后，使你造成的伤害提升15%，持续3秒，最多叠加5层</t>
  </si>
  <si>
    <t>Buff附带的减速效果变为冰冻，使目标冻结2秒，被冰冻的目标受到的伤害加深65%</t>
  </si>
  <si>
    <t>发射的炮弹变为5颗追踪火箭弹</t>
  </si>
  <si>
    <t>箭矢数量+2</t>
  </si>
  <si>
    <t>天赋等级</t>
  </si>
  <si>
    <t>暴伤</t>
  </si>
  <si>
    <t>解锁所需金币</t>
  </si>
  <si>
    <t>预期解锁时间</t>
  </si>
  <si>
    <t>特殊天赋类型</t>
  </si>
  <si>
    <t>/</t>
  </si>
  <si>
    <t>主题1</t>
  </si>
  <si>
    <t>主题2</t>
  </si>
  <si>
    <t>主题3</t>
  </si>
  <si>
    <t>主题4</t>
  </si>
  <si>
    <t>主题5</t>
  </si>
  <si>
    <t>基地健康度+5</t>
  </si>
  <si>
    <t>角色技能充能速度+1点/s</t>
  </si>
  <si>
    <t>角色技能CD-5s</t>
  </si>
  <si>
    <t>状态持续时间+1s</t>
  </si>
  <si>
    <t>基地健康值+10点</t>
  </si>
  <si>
    <t>角色技能充能速度+2点/s</t>
  </si>
  <si>
    <t>状态持续时间+2s</t>
  </si>
  <si>
    <t>角色技能CD-10s</t>
  </si>
  <si>
    <t>巅峰天赋</t>
  </si>
  <si>
    <t>无尽模式下，每消灭一波怪物，全体攻击力提升2点</t>
  </si>
  <si>
    <t>各角色各等级在天赋主题下的DPS</t>
  </si>
  <si>
    <t>天赋主题加成一览（来源：本页L3:Q10）</t>
  </si>
  <si>
    <t>属性</t>
  </si>
  <si>
    <t>暴击率(%)</t>
  </si>
  <si>
    <t>暴击伤害(%)</t>
  </si>
  <si>
    <t>伤害加深(%)</t>
  </si>
  <si>
    <t>DPS计算结果（公式动态引用第56-60行天赋参数表，修改天赋值后DPS自动更新）</t>
  </si>
  <si>
    <t>角色</t>
  </si>
  <si>
    <t>等级</t>
  </si>
  <si>
    <t>无天赋DPS</t>
  </si>
  <si>
    <t>主题1 DPS</t>
  </si>
  <si>
    <t>主题2 DPS</t>
  </si>
  <si>
    <t>主题3 DPS</t>
  </si>
  <si>
    <t>主题4 DPS</t>
  </si>
  <si>
    <t>主题5 DPS</t>
  </si>
  <si>
    <t>提升倍率(主题5)</t>
  </si>
  <si>
    <t>说明：</t>
  </si>
  <si>
    <t>1. 天赋主题加成来源于本页L6:Q10区域（可直接修改数值），DPS单元格均使用Excel公式动态引用天赋参数，修改天赋值后DPS将自动重新计算。</t>
  </si>
  <si>
    <t>2. 暴击率/暴击伤害/伤害加深为百分比加成（如主题1暴击率+3即+0.03），攻击力为绝对值加成。公式中通过 /100 将百分比转为小数。</t>
  </si>
  <si>
    <t>3. DPS公式来源于「属性及攻击伤害」页：攻击力×技能伤害×(1+暴击率×暴击伤害)×伤害加深×速度×伤害范围，3级起含被动/状态附加效果与增幅系数。</t>
  </si>
  <si>
    <t>4. 各等级公式差异：1-2级为基础公式；3级增加被动效果(角色1冲击波×1.15/角色2×1.2/角色3灼烧/角色4分裂箭×1.5)；4级数值成长；5级终极被动(角色1每2次攻击/角色2冰冻×1.65/角色3火箭弹/角色4箭矢+2×4.5)。</t>
  </si>
  <si>
    <t>5. 角色2的1-2级状态伤害不含暴击乘子，3级起状态伤害计入暴击乘子，这是原始公式的设定差异。</t>
  </si>
  <si>
    <t>6. 提升倍率列(H/C)也使用公式，=主题5 DPS ÷ 无天赋DPS，修改天赋后自动更新。</t>
  </si>
  <si>
    <t>关卡数/波次</t>
  </si>
  <si>
    <t>单人</t>
  </si>
  <si>
    <t>小怪数量</t>
  </si>
  <si>
    <t>小怪血量</t>
  </si>
  <si>
    <t>精英数量</t>
  </si>
  <si>
    <t>精英血量</t>
  </si>
  <si>
    <t>BOSS数量</t>
  </si>
  <si>
    <t>BOSS血量</t>
  </si>
  <si>
    <t>波次</t>
  </si>
  <si>
    <t>怪物数量</t>
  </si>
  <si>
    <t>怪物血量</t>
  </si>
  <si>
    <t>精英怪数量</t>
  </si>
  <si>
    <t>精英怪血量</t>
  </si>
  <si>
    <t>备注：刷新精英或BOSS时，不会刷新小怪，此处只是为了方便计算做了保留</t>
  </si>
  <si>
    <t>备注：此处达到关卡模式最后一关的难度</t>
  </si>
  <si>
    <t>单人极限</t>
  </si>
  <si>
    <t>4人极限</t>
  </si>
  <si>
    <t>升级次数/升级所需经验</t>
  </si>
  <si>
    <t>无尽模式</t>
  </si>
  <si>
    <t>关卡模式</t>
  </si>
  <si>
    <t>杀怪经验/只</t>
  </si>
  <si>
    <t>一局游戏时长/秒</t>
  </si>
  <si>
    <t>一局游戏杀怪金币收益</t>
  </si>
  <si>
    <t>一局游戏结算金币收益</t>
  </si>
  <si>
    <t>设定玩家通关率为80%，则玩家每小时金币收益为</t>
  </si>
  <si>
    <t>成长倍率+总伤需求预期</t>
    <phoneticPr fontId="2" type="noConversion"/>
  </si>
  <si>
    <t>衰减血量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</si>
</sst>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0.00_);[Red]\(0.00\)"/>
    <numFmt numFmtId="178" formatCode="0.00&quot;x&quot;"/>
  </numFmts>
  <fonts count="1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9"/>
      <color rgb="FF808080"/>
      <name val="微软雅黑"/>
      <family val="2"/>
      <charset val="134"/>
    </font>
    <font>
      <i/>
      <sz val="9"/>
      <color rgb="FF80808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9" fontId="1" fillId="0" borderId="0">
      <alignment vertical="center"/>
    </xf>
  </cellStyleXfs>
  <cellXfs count="59">
    <xf numFmtId="0" fontId="0" fillId="0" borderId="0" xfId="0"/>
    <xf numFmtId="9" fontId="0" fillId="0" borderId="1" xfId="1" applyFont="1" applyBorder="1" applyAlignment="1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10" fontId="0" fillId="0" borderId="1" xfId="0" applyNumberFormat="1" applyBorder="1"/>
    <xf numFmtId="0" fontId="0" fillId="2" borderId="0" xfId="0" applyFill="1"/>
    <xf numFmtId="0" fontId="0" fillId="0" borderId="1" xfId="0" applyBorder="1"/>
    <xf numFmtId="9" fontId="0" fillId="0" borderId="1" xfId="0" applyNumberFormat="1" applyBorder="1"/>
    <xf numFmtId="9" fontId="0" fillId="0" borderId="0" xfId="1" applyFont="1" applyAlignment="1"/>
    <xf numFmtId="0" fontId="5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15" borderId="8" xfId="0" applyNumberFormat="1" applyFont="1" applyFill="1" applyBorder="1" applyAlignment="1">
      <alignment horizontal="center" vertical="center" wrapText="1"/>
    </xf>
    <xf numFmtId="2" fontId="7" fillId="12" borderId="8" xfId="0" applyNumberFormat="1" applyFont="1" applyFill="1" applyBorder="1" applyAlignment="1">
      <alignment horizontal="center" vertical="center" wrapText="1"/>
    </xf>
    <xf numFmtId="2" fontId="7" fillId="13" borderId="8" xfId="0" applyNumberFormat="1" applyFont="1" applyFill="1" applyBorder="1" applyAlignment="1">
      <alignment horizontal="center" vertical="center" wrapText="1"/>
    </xf>
    <xf numFmtId="2" fontId="7" fillId="11" borderId="8" xfId="0" applyNumberFormat="1" applyFont="1" applyFill="1" applyBorder="1" applyAlignment="1">
      <alignment horizontal="center" vertical="center" wrapText="1"/>
    </xf>
    <xf numFmtId="2" fontId="7" fillId="9" borderId="8" xfId="0" applyNumberFormat="1" applyFont="1" applyFill="1" applyBorder="1" applyAlignment="1">
      <alignment horizontal="center" vertical="center" wrapText="1"/>
    </xf>
    <xf numFmtId="2" fontId="7" fillId="14" borderId="8" xfId="0" applyNumberFormat="1" applyFont="1" applyFill="1" applyBorder="1" applyAlignment="1">
      <alignment horizontal="center" vertical="center" wrapText="1"/>
    </xf>
    <xf numFmtId="1" fontId="7" fillId="12" borderId="8" xfId="0" applyNumberFormat="1" applyFont="1" applyFill="1" applyBorder="1" applyAlignment="1">
      <alignment horizontal="center" vertical="center" wrapText="1"/>
    </xf>
    <xf numFmtId="1" fontId="7" fillId="13" borderId="8" xfId="0" applyNumberFormat="1" applyFont="1" applyFill="1" applyBorder="1" applyAlignment="1">
      <alignment horizontal="center" vertical="center" wrapText="1"/>
    </xf>
    <xf numFmtId="1" fontId="7" fillId="11" borderId="8" xfId="0" applyNumberFormat="1" applyFont="1" applyFill="1" applyBorder="1" applyAlignment="1">
      <alignment horizontal="center" vertical="center" wrapText="1"/>
    </xf>
    <xf numFmtId="1" fontId="7" fillId="9" borderId="8" xfId="0" applyNumberFormat="1" applyFont="1" applyFill="1" applyBorder="1" applyAlignment="1">
      <alignment horizontal="center" vertical="center" wrapText="1"/>
    </xf>
    <xf numFmtId="1" fontId="7" fillId="14" borderId="8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176" fontId="0" fillId="0" borderId="1" xfId="0" applyNumberFormat="1" applyBorder="1"/>
    <xf numFmtId="177" fontId="0" fillId="0" borderId="0" xfId="0" applyNumberFormat="1"/>
    <xf numFmtId="178" fontId="8" fillId="0" borderId="8" xfId="0" applyNumberFormat="1" applyFont="1" applyBorder="1" applyAlignment="1">
      <alignment horizontal="center" vertical="center" wrapText="1"/>
    </xf>
    <xf numFmtId="176" fontId="0" fillId="3" borderId="0" xfId="1" applyNumberFormat="1" applyFont="1" applyFill="1" applyAlignment="1"/>
    <xf numFmtId="176" fontId="0" fillId="0" borderId="0" xfId="1" applyNumberFormat="1" applyFont="1" applyAlignment="1"/>
    <xf numFmtId="176" fontId="0" fillId="4" borderId="0" xfId="1" applyNumberFormat="1" applyFont="1" applyFill="1" applyAlignment="1"/>
    <xf numFmtId="176" fontId="0" fillId="5" borderId="0" xfId="1" applyNumberFormat="1" applyFont="1" applyFill="1" applyAlignment="1"/>
    <xf numFmtId="176" fontId="0" fillId="6" borderId="0" xfId="1" applyNumberFormat="1" applyFont="1" applyFill="1" applyAlignment="1"/>
    <xf numFmtId="176" fontId="0" fillId="7" borderId="0" xfId="1" applyNumberFormat="1" applyFont="1" applyFill="1" applyAlignment="1"/>
    <xf numFmtId="176" fontId="1" fillId="0" borderId="0" xfId="1" applyNumberForma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0" xfId="1" applyFont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9" fillId="0" borderId="0" xfId="0" applyFont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"/>
  <sheetViews>
    <sheetView topLeftCell="A46" workbookViewId="0">
      <selection activeCell="Q22" sqref="Q22"/>
    </sheetView>
  </sheetViews>
  <sheetFormatPr defaultRowHeight="14.25"/>
  <cols>
    <col min="2" max="2" width="14.375" style="25" bestFit="1" customWidth="1"/>
    <col min="4" max="4" width="3.5" style="25" customWidth="1"/>
    <col min="5" max="5" width="13" style="25" bestFit="1" customWidth="1"/>
    <col min="7" max="7" width="3.375" style="25" customWidth="1"/>
    <col min="8" max="8" width="13" style="25" bestFit="1" customWidth="1"/>
    <col min="10" max="10" width="3.25" style="25" customWidth="1"/>
    <col min="11" max="11" width="13" style="25" bestFit="1" customWidth="1"/>
    <col min="15" max="15" width="13" style="25" bestFit="1" customWidth="1"/>
    <col min="17" max="17" width="3.625" style="25" customWidth="1"/>
    <col min="18" max="18" width="13" style="25" bestFit="1" customWidth="1"/>
    <col min="20" max="20" width="14.625" style="25" customWidth="1"/>
    <col min="21" max="21" width="13" style="25" bestFit="1" customWidth="1"/>
    <col min="23" max="23" width="3.375" style="25" customWidth="1"/>
    <col min="24" max="24" width="13" style="25" bestFit="1" customWidth="1"/>
  </cols>
  <sheetData>
    <row r="1" spans="1:25">
      <c r="A1" s="39" t="s">
        <v>0</v>
      </c>
      <c r="B1" s="43" t="s">
        <v>1</v>
      </c>
      <c r="C1" s="44"/>
      <c r="D1" s="6"/>
      <c r="E1" s="43" t="s">
        <v>2</v>
      </c>
      <c r="F1" s="44"/>
      <c r="G1" s="6"/>
      <c r="H1" s="43" t="s">
        <v>3</v>
      </c>
      <c r="I1" s="44"/>
      <c r="J1" s="6"/>
      <c r="K1" s="43" t="s">
        <v>4</v>
      </c>
      <c r="L1" s="44"/>
      <c r="N1" s="39" t="s">
        <v>5</v>
      </c>
      <c r="O1" s="43" t="s">
        <v>6</v>
      </c>
      <c r="P1" s="44"/>
      <c r="Q1" s="6"/>
      <c r="R1" s="43" t="s">
        <v>7</v>
      </c>
      <c r="S1" s="44"/>
      <c r="T1" s="6"/>
      <c r="U1" s="43" t="s">
        <v>8</v>
      </c>
      <c r="V1" s="44"/>
      <c r="W1" s="6"/>
      <c r="X1" s="43" t="s">
        <v>9</v>
      </c>
      <c r="Y1" s="44"/>
    </row>
    <row r="2" spans="1:25">
      <c r="A2" s="40"/>
      <c r="B2" s="6" t="s">
        <v>10</v>
      </c>
      <c r="C2" s="6">
        <f>7+C12</f>
        <v>7</v>
      </c>
      <c r="D2" s="6"/>
      <c r="E2" s="6" t="s">
        <v>10</v>
      </c>
      <c r="F2" s="6">
        <f>6+C12</f>
        <v>6</v>
      </c>
      <c r="G2" s="6"/>
      <c r="H2" s="6" t="s">
        <v>10</v>
      </c>
      <c r="I2" s="6">
        <f>8+C12</f>
        <v>8</v>
      </c>
      <c r="J2" s="6"/>
      <c r="K2" s="6" t="s">
        <v>10</v>
      </c>
      <c r="L2" s="6">
        <f>6+C12</f>
        <v>6</v>
      </c>
      <c r="N2" s="40"/>
      <c r="O2" s="6" t="s">
        <v>10</v>
      </c>
      <c r="P2" s="6">
        <f>C2+C2*P12</f>
        <v>9.8000000000000007</v>
      </c>
      <c r="Q2" s="6"/>
      <c r="R2" s="6" t="s">
        <v>10</v>
      </c>
      <c r="S2" s="6">
        <f>F2+F2*S12</f>
        <v>9</v>
      </c>
      <c r="T2" s="6"/>
      <c r="U2" s="6" t="s">
        <v>10</v>
      </c>
      <c r="V2" s="6">
        <f>I2+I2*V12</f>
        <v>12.4</v>
      </c>
      <c r="W2" s="6"/>
      <c r="X2" s="6" t="s">
        <v>10</v>
      </c>
      <c r="Y2" s="6">
        <f>L2+L2*Y12</f>
        <v>7.8</v>
      </c>
    </row>
    <row r="3" spans="1:25">
      <c r="A3" s="40"/>
      <c r="B3" s="6" t="s">
        <v>11</v>
      </c>
      <c r="C3" s="1">
        <f>15%+C13</f>
        <v>0.15</v>
      </c>
      <c r="D3" s="6"/>
      <c r="E3" s="6" t="s">
        <v>11</v>
      </c>
      <c r="F3" s="1">
        <f>12%+C13</f>
        <v>0.12</v>
      </c>
      <c r="G3" s="6"/>
      <c r="H3" s="6" t="s">
        <v>11</v>
      </c>
      <c r="I3" s="1">
        <f>3%+C13</f>
        <v>0.03</v>
      </c>
      <c r="J3" s="6"/>
      <c r="K3" s="6" t="s">
        <v>11</v>
      </c>
      <c r="L3" s="1">
        <f>20%+C13</f>
        <v>0.2</v>
      </c>
      <c r="N3" s="40"/>
      <c r="O3" s="6" t="s">
        <v>11</v>
      </c>
      <c r="P3" s="4">
        <f>C3+P13</f>
        <v>0.2</v>
      </c>
      <c r="Q3" s="6"/>
      <c r="R3" s="6" t="s">
        <v>11</v>
      </c>
      <c r="S3" s="1">
        <f>F3+S13</f>
        <v>0.16999999999999998</v>
      </c>
      <c r="T3" s="6"/>
      <c r="U3" s="6" t="s">
        <v>11</v>
      </c>
      <c r="V3" s="4">
        <f>I3+V13</f>
        <v>0.03</v>
      </c>
      <c r="W3" s="6"/>
      <c r="X3" s="6" t="s">
        <v>11</v>
      </c>
      <c r="Y3" s="1">
        <f>L3+Y13</f>
        <v>0.30000000000000004</v>
      </c>
    </row>
    <row r="4" spans="1:25">
      <c r="A4" s="40"/>
      <c r="B4" s="6" t="s">
        <v>12</v>
      </c>
      <c r="C4" s="1">
        <f>140%+C14</f>
        <v>1.4</v>
      </c>
      <c r="D4" s="6"/>
      <c r="E4" s="6" t="s">
        <v>12</v>
      </c>
      <c r="F4" s="1">
        <f>170%+C14</f>
        <v>1.7</v>
      </c>
      <c r="G4" s="6"/>
      <c r="H4" s="6" t="s">
        <v>12</v>
      </c>
      <c r="I4" s="1">
        <f>190%+C14</f>
        <v>1.9</v>
      </c>
      <c r="J4" s="6"/>
      <c r="K4" s="6" t="s">
        <v>12</v>
      </c>
      <c r="L4" s="1">
        <f>160%+C14</f>
        <v>1.6</v>
      </c>
      <c r="N4" s="40"/>
      <c r="O4" s="6" t="s">
        <v>12</v>
      </c>
      <c r="P4" s="6">
        <f>C4+P14</f>
        <v>1.7</v>
      </c>
      <c r="Q4" s="6"/>
      <c r="R4" s="6" t="s">
        <v>12</v>
      </c>
      <c r="S4" s="1">
        <f>F4+S14</f>
        <v>1.8499999999999999</v>
      </c>
      <c r="T4" s="6"/>
      <c r="U4" s="6" t="s">
        <v>12</v>
      </c>
      <c r="V4" s="4">
        <f>I4+V14</f>
        <v>2.1999999999999997</v>
      </c>
      <c r="W4" s="6"/>
      <c r="X4" s="6" t="s">
        <v>12</v>
      </c>
      <c r="Y4" s="1">
        <f>L4+Y14</f>
        <v>1.6</v>
      </c>
    </row>
    <row r="5" spans="1:25">
      <c r="A5" s="40"/>
      <c r="B5" s="6" t="s">
        <v>13</v>
      </c>
      <c r="C5" s="6">
        <v>6</v>
      </c>
      <c r="D5" s="6"/>
      <c r="E5" s="6" t="s">
        <v>13</v>
      </c>
      <c r="F5" s="6">
        <v>1</v>
      </c>
      <c r="G5" s="6"/>
      <c r="H5" s="6" t="s">
        <v>13</v>
      </c>
      <c r="I5" s="6">
        <v>0.6</v>
      </c>
      <c r="J5" s="6"/>
      <c r="K5" s="6" t="s">
        <v>13</v>
      </c>
      <c r="L5" s="6">
        <v>1.5</v>
      </c>
      <c r="N5" s="40"/>
      <c r="O5" s="6" t="s">
        <v>13</v>
      </c>
      <c r="P5" s="6">
        <f>C5+P15</f>
        <v>6</v>
      </c>
      <c r="Q5" s="6"/>
      <c r="R5" s="6" t="s">
        <v>13</v>
      </c>
      <c r="S5" s="6">
        <f>F5+S15</f>
        <v>1</v>
      </c>
      <c r="T5" s="6"/>
      <c r="U5" s="6" t="s">
        <v>13</v>
      </c>
      <c r="V5" s="6">
        <f>I5</f>
        <v>0.6</v>
      </c>
      <c r="W5" s="6"/>
      <c r="X5" s="6" t="s">
        <v>13</v>
      </c>
      <c r="Y5" s="6">
        <f>L5+Y15</f>
        <v>1.5</v>
      </c>
    </row>
    <row r="6" spans="1:25">
      <c r="A6" s="40"/>
      <c r="B6" s="6" t="s">
        <v>14</v>
      </c>
      <c r="C6" s="6">
        <v>0</v>
      </c>
      <c r="D6" s="6"/>
      <c r="E6" s="6" t="s">
        <v>14</v>
      </c>
      <c r="F6" s="6">
        <v>0.5</v>
      </c>
      <c r="G6" s="6"/>
      <c r="H6" s="6" t="s">
        <v>14</v>
      </c>
      <c r="I6" s="6">
        <v>0</v>
      </c>
      <c r="J6" s="6"/>
      <c r="K6" s="6" t="s">
        <v>14</v>
      </c>
      <c r="L6" s="6">
        <v>0</v>
      </c>
      <c r="N6" s="40"/>
      <c r="O6" s="6" t="s">
        <v>14</v>
      </c>
      <c r="P6" s="6">
        <v>0</v>
      </c>
      <c r="Q6" s="6"/>
      <c r="R6" s="6" t="s">
        <v>14</v>
      </c>
      <c r="S6" s="6">
        <v>0.5</v>
      </c>
      <c r="T6" s="6"/>
      <c r="U6" s="6" t="s">
        <v>14</v>
      </c>
      <c r="V6" s="6">
        <f>I6</f>
        <v>0</v>
      </c>
      <c r="W6" s="6"/>
      <c r="X6" s="6" t="s">
        <v>14</v>
      </c>
      <c r="Y6" s="6">
        <v>0</v>
      </c>
    </row>
    <row r="7" spans="1:25">
      <c r="A7" s="40"/>
      <c r="B7" s="6" t="s">
        <v>15</v>
      </c>
      <c r="C7" s="4">
        <f>1+C16</f>
        <v>1</v>
      </c>
      <c r="D7" s="6"/>
      <c r="E7" s="6" t="s">
        <v>15</v>
      </c>
      <c r="F7" s="27">
        <f>130%+C16</f>
        <v>1.3</v>
      </c>
      <c r="G7" s="6"/>
      <c r="H7" s="6" t="s">
        <v>15</v>
      </c>
      <c r="I7" s="4">
        <f>1+C16</f>
        <v>1</v>
      </c>
      <c r="J7" s="6"/>
      <c r="K7" s="6" t="s">
        <v>15</v>
      </c>
      <c r="L7" s="4">
        <f>1+C16</f>
        <v>1</v>
      </c>
      <c r="N7" s="40"/>
      <c r="O7" s="6" t="s">
        <v>15</v>
      </c>
      <c r="P7" s="6">
        <f>C7+P16</f>
        <v>1</v>
      </c>
      <c r="Q7" s="6"/>
      <c r="R7" s="6" t="s">
        <v>15</v>
      </c>
      <c r="S7" s="6">
        <f>F7+S16</f>
        <v>1.3</v>
      </c>
      <c r="T7" s="6"/>
      <c r="U7" s="6" t="s">
        <v>15</v>
      </c>
      <c r="V7" s="6">
        <f>I7</f>
        <v>1</v>
      </c>
      <c r="W7" s="6"/>
      <c r="X7" s="6" t="s">
        <v>15</v>
      </c>
      <c r="Y7" s="6">
        <f>L7+Y16</f>
        <v>1</v>
      </c>
    </row>
    <row r="8" spans="1:25">
      <c r="A8" s="40"/>
      <c r="B8" s="6" t="s">
        <v>16</v>
      </c>
      <c r="C8" s="6">
        <v>1</v>
      </c>
      <c r="D8" s="6"/>
      <c r="E8" s="6" t="s">
        <v>16</v>
      </c>
      <c r="F8" s="6">
        <v>3</v>
      </c>
      <c r="G8" s="6"/>
      <c r="H8" s="6" t="s">
        <v>16</v>
      </c>
      <c r="I8" s="6">
        <v>5</v>
      </c>
      <c r="J8" s="6"/>
      <c r="K8" s="6" t="s">
        <v>16</v>
      </c>
      <c r="L8" s="6">
        <v>1</v>
      </c>
      <c r="N8" s="40"/>
      <c r="O8" s="6" t="s">
        <v>16</v>
      </c>
      <c r="P8" s="6">
        <f>C8+P17</f>
        <v>1</v>
      </c>
      <c r="Q8" s="6"/>
      <c r="R8" s="6" t="s">
        <v>16</v>
      </c>
      <c r="S8" s="6">
        <f>F8+S17</f>
        <v>3</v>
      </c>
      <c r="T8" s="6"/>
      <c r="U8" s="6" t="s">
        <v>16</v>
      </c>
      <c r="V8" s="6">
        <f>I8</f>
        <v>5</v>
      </c>
      <c r="W8" s="6"/>
      <c r="X8" s="6" t="s">
        <v>16</v>
      </c>
      <c r="Y8" s="6">
        <f>L8+Y17</f>
        <v>1</v>
      </c>
    </row>
    <row r="9" spans="1:25">
      <c r="A9" s="40"/>
      <c r="B9" s="6" t="s">
        <v>17</v>
      </c>
      <c r="C9" s="1">
        <v>0.5</v>
      </c>
      <c r="D9" s="6"/>
      <c r="E9" s="6" t="s">
        <v>17</v>
      </c>
      <c r="F9" s="1">
        <v>0.4</v>
      </c>
      <c r="G9" s="6"/>
      <c r="H9" s="6" t="s">
        <v>17</v>
      </c>
      <c r="I9" s="1">
        <v>1</v>
      </c>
      <c r="J9" s="6"/>
      <c r="K9" s="6" t="s">
        <v>17</v>
      </c>
      <c r="L9" s="1">
        <v>2</v>
      </c>
      <c r="N9" s="40"/>
      <c r="O9" s="6" t="s">
        <v>17</v>
      </c>
      <c r="P9" s="1">
        <f>C9</f>
        <v>0.5</v>
      </c>
      <c r="Q9" s="6"/>
      <c r="R9" s="6" t="s">
        <v>17</v>
      </c>
      <c r="S9" s="1">
        <f>F9</f>
        <v>0.4</v>
      </c>
      <c r="T9" s="6"/>
      <c r="U9" s="6" t="s">
        <v>17</v>
      </c>
      <c r="V9" s="1">
        <f>I9</f>
        <v>1</v>
      </c>
      <c r="W9" s="6"/>
      <c r="X9" s="6" t="s">
        <v>17</v>
      </c>
      <c r="Y9" s="1">
        <f>L9</f>
        <v>2</v>
      </c>
    </row>
    <row r="10" spans="1:25">
      <c r="A10" s="40"/>
      <c r="B10" s="6"/>
      <c r="C10" s="6"/>
      <c r="D10" s="6"/>
      <c r="E10" s="6" t="s">
        <v>18</v>
      </c>
      <c r="F10" s="1">
        <v>0.3</v>
      </c>
      <c r="G10" s="6"/>
      <c r="H10" s="6"/>
      <c r="I10" s="6"/>
      <c r="J10" s="6"/>
      <c r="K10" s="6"/>
      <c r="L10" s="6"/>
      <c r="N10" s="40"/>
      <c r="O10" s="6"/>
      <c r="P10" s="6"/>
      <c r="Q10" s="6"/>
      <c r="R10" s="6" t="s">
        <v>18</v>
      </c>
      <c r="S10" s="1">
        <v>0.3</v>
      </c>
      <c r="T10" s="6"/>
      <c r="U10" s="6"/>
      <c r="V10" s="6"/>
      <c r="W10" s="6"/>
      <c r="X10" s="6"/>
      <c r="Y10" s="6"/>
    </row>
    <row r="11" spans="1:25">
      <c r="A11" s="40"/>
      <c r="B11" s="6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N11" s="40"/>
      <c r="O11" s="6" t="s">
        <v>20</v>
      </c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B12" s="6" t="s">
        <v>10</v>
      </c>
      <c r="C12" s="6">
        <v>0</v>
      </c>
      <c r="D12" s="6"/>
      <c r="E12" s="6"/>
      <c r="F12" s="6"/>
      <c r="G12" s="6"/>
      <c r="H12" s="6"/>
      <c r="I12" s="6"/>
      <c r="J12" s="6"/>
      <c r="K12" s="6"/>
      <c r="L12" s="6"/>
      <c r="O12" s="6" t="s">
        <v>21</v>
      </c>
      <c r="P12" s="1">
        <v>0.4</v>
      </c>
      <c r="Q12" s="6"/>
      <c r="R12" s="6"/>
      <c r="S12" s="1">
        <v>0.5</v>
      </c>
      <c r="T12" s="6"/>
      <c r="U12" s="6"/>
      <c r="V12" s="1">
        <v>0.55000000000000004</v>
      </c>
      <c r="W12" s="6"/>
      <c r="X12" s="6"/>
      <c r="Y12" s="1">
        <v>0.3</v>
      </c>
    </row>
    <row r="13" spans="1:25">
      <c r="B13" s="6" t="s">
        <v>11</v>
      </c>
      <c r="C13" s="4">
        <v>0</v>
      </c>
      <c r="D13" s="6"/>
      <c r="E13" s="6"/>
      <c r="F13" s="6"/>
      <c r="G13" s="6"/>
      <c r="H13" s="6"/>
      <c r="I13" s="6"/>
      <c r="J13" s="6"/>
      <c r="K13" s="6"/>
      <c r="L13" s="6"/>
      <c r="O13" s="6" t="s">
        <v>11</v>
      </c>
      <c r="P13" s="4">
        <v>0.05</v>
      </c>
      <c r="Q13" s="6"/>
      <c r="R13" s="6"/>
      <c r="S13" s="4">
        <v>0.05</v>
      </c>
      <c r="T13" s="6"/>
      <c r="U13" s="6"/>
      <c r="V13" s="4"/>
      <c r="W13" s="6"/>
      <c r="X13" s="6"/>
      <c r="Y13" s="4">
        <v>0.1</v>
      </c>
    </row>
    <row r="14" spans="1:25">
      <c r="B14" s="6" t="s">
        <v>12</v>
      </c>
      <c r="C14" s="4">
        <v>0</v>
      </c>
      <c r="D14" s="6"/>
      <c r="E14" s="6"/>
      <c r="F14" s="6"/>
      <c r="G14" s="6"/>
      <c r="H14" s="6"/>
      <c r="I14" s="6"/>
      <c r="J14" s="6"/>
      <c r="K14" s="6"/>
      <c r="L14" s="6"/>
      <c r="O14" s="6" t="s">
        <v>12</v>
      </c>
      <c r="P14" s="4">
        <v>0.3</v>
      </c>
      <c r="Q14" s="6"/>
      <c r="R14" s="6"/>
      <c r="S14" s="4">
        <v>0.15</v>
      </c>
      <c r="T14" s="6"/>
      <c r="U14" s="6"/>
      <c r="V14" s="4">
        <v>0.3</v>
      </c>
      <c r="W14" s="6"/>
      <c r="X14" s="6"/>
      <c r="Y14" s="4"/>
    </row>
    <row r="15" spans="1:25">
      <c r="B15" s="6" t="s">
        <v>22</v>
      </c>
      <c r="C15" s="6">
        <v>0</v>
      </c>
      <c r="D15" s="6"/>
      <c r="E15" s="6"/>
      <c r="F15" s="6"/>
      <c r="G15" s="6"/>
      <c r="H15" s="6"/>
      <c r="I15" s="6"/>
      <c r="J15" s="6"/>
      <c r="K15" s="6"/>
      <c r="L15" s="6"/>
      <c r="O15" s="6" t="s">
        <v>22</v>
      </c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B16" s="6" t="s">
        <v>15</v>
      </c>
      <c r="C16" s="4">
        <v>0</v>
      </c>
      <c r="D16" s="6"/>
      <c r="E16" s="6"/>
      <c r="F16" s="6"/>
      <c r="G16" s="6"/>
      <c r="H16" s="6"/>
      <c r="I16" s="6"/>
      <c r="J16" s="6"/>
      <c r="K16" s="6"/>
      <c r="L16" s="6"/>
      <c r="O16" s="6" t="s">
        <v>15</v>
      </c>
      <c r="P16" s="4"/>
      <c r="Q16" s="6"/>
      <c r="R16" s="6"/>
      <c r="S16" s="4"/>
      <c r="T16" s="6"/>
      <c r="U16" s="6"/>
      <c r="V16" s="4"/>
      <c r="W16" s="6"/>
      <c r="X16" s="6"/>
      <c r="Y16" s="4"/>
    </row>
    <row r="17" spans="1:3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O17" s="6" t="s">
        <v>16</v>
      </c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34">
      <c r="B18" s="41" t="s">
        <v>23</v>
      </c>
      <c r="C18" s="42"/>
      <c r="E18" s="41" t="s">
        <v>23</v>
      </c>
      <c r="F18" s="42"/>
      <c r="H18" s="41" t="s">
        <v>23</v>
      </c>
      <c r="I18" s="42"/>
      <c r="K18" s="41" t="s">
        <v>23</v>
      </c>
      <c r="L18" s="42"/>
      <c r="O18" s="41" t="s">
        <v>23</v>
      </c>
      <c r="P18" s="42"/>
      <c r="R18" s="41" t="s">
        <v>23</v>
      </c>
      <c r="S18" s="42"/>
      <c r="U18" s="41" t="s">
        <v>23</v>
      </c>
      <c r="V18" s="42"/>
      <c r="X18" s="41" t="s">
        <v>23</v>
      </c>
      <c r="Y18" s="42"/>
      <c r="AB18" s="26"/>
      <c r="AC18" s="26"/>
      <c r="AD18" s="26"/>
      <c r="AE18" s="26"/>
      <c r="AF18" s="26"/>
      <c r="AG18" s="26"/>
      <c r="AH18" s="26"/>
    </row>
    <row r="19" spans="1:34">
      <c r="B19" s="41">
        <f>C2*C9*(1+C3*C4)*C7*C5*C8</f>
        <v>25.409999999999997</v>
      </c>
      <c r="C19" s="42"/>
      <c r="E19" s="41">
        <f>F2*F9*(1+F3*F4)*F7*F5*F8+F2*F10*F7*(1/F6)*F8</f>
        <v>25.309440000000002</v>
      </c>
      <c r="F19" s="42"/>
      <c r="H19" s="41">
        <f>I2*I9*(1+I3*I4)*I7*I5*I8</f>
        <v>25.367999999999999</v>
      </c>
      <c r="I19" s="42"/>
      <c r="K19" s="41">
        <f>L2*L9*(1+L3*L4)*L7*L5*L8</f>
        <v>23.759999999999998</v>
      </c>
      <c r="L19" s="42"/>
      <c r="O19" s="41">
        <f>P2*P9*(1+P3*P4)*P7*P5*P8</f>
        <v>39.396000000000001</v>
      </c>
      <c r="P19" s="42"/>
      <c r="R19" s="41">
        <f>S2*S9*(1+S3*S4)*S7*S5*S8+S2*S10*S7*(1/S6)*S8</f>
        <v>39.51558</v>
      </c>
      <c r="S19" s="42"/>
      <c r="U19" s="41">
        <f>V2*V9*(1+V3*V4)*V7*V5*V8</f>
        <v>39.655200000000001</v>
      </c>
      <c r="V19" s="42"/>
      <c r="X19" s="41">
        <f>Y2*Y9*(1+Y3*Y4)*Y7*Y5*Y8</f>
        <v>34.632000000000005</v>
      </c>
      <c r="Y19" s="42"/>
      <c r="AB19" s="26"/>
      <c r="AC19" s="26"/>
      <c r="AD19" s="26"/>
      <c r="AE19" s="26"/>
      <c r="AF19" s="26"/>
      <c r="AG19" s="26"/>
      <c r="AH19" s="26"/>
    </row>
    <row r="20" spans="1:34">
      <c r="B20" s="8">
        <f>C5*C9*C8</f>
        <v>3</v>
      </c>
      <c r="E20" s="8">
        <f>(F9*F5+F10/F6)*F8</f>
        <v>3</v>
      </c>
      <c r="H20" s="8">
        <f>I9*I5*I8</f>
        <v>3</v>
      </c>
      <c r="K20" s="8">
        <f>L9*L5*L8</f>
        <v>3</v>
      </c>
      <c r="AB20" s="26"/>
      <c r="AC20" s="26"/>
      <c r="AD20" s="26"/>
      <c r="AE20" s="26"/>
      <c r="AF20" s="26"/>
      <c r="AG20" s="26"/>
      <c r="AH20" s="26"/>
    </row>
    <row r="21" spans="1:34">
      <c r="B21" s="5" t="s">
        <v>24</v>
      </c>
      <c r="C21" s="5" t="s">
        <v>25</v>
      </c>
      <c r="D21" s="5"/>
      <c r="E21" s="5"/>
      <c r="F21" s="5"/>
      <c r="G21" s="5"/>
      <c r="H21" s="5"/>
      <c r="I21" s="5"/>
      <c r="J21" s="5"/>
      <c r="K21" s="5"/>
      <c r="L21" s="5"/>
      <c r="AB21" s="26"/>
      <c r="AC21" s="26"/>
      <c r="AD21" s="26"/>
      <c r="AE21" s="26"/>
      <c r="AF21" s="26"/>
      <c r="AG21" s="26"/>
      <c r="AH21" s="26"/>
    </row>
    <row r="22" spans="1:34">
      <c r="A22" s="39" t="s">
        <v>26</v>
      </c>
      <c r="B22" s="43" t="s">
        <v>6</v>
      </c>
      <c r="C22" s="44"/>
      <c r="D22" s="6"/>
      <c r="E22" s="43" t="s">
        <v>7</v>
      </c>
      <c r="F22" s="44"/>
      <c r="G22" s="6"/>
      <c r="H22" s="43" t="s">
        <v>8</v>
      </c>
      <c r="I22" s="44"/>
      <c r="J22" s="6"/>
      <c r="K22" s="43" t="s">
        <v>9</v>
      </c>
      <c r="L22" s="44"/>
      <c r="N22" s="39" t="s">
        <v>27</v>
      </c>
      <c r="O22" s="43" t="s">
        <v>6</v>
      </c>
      <c r="P22" s="44"/>
      <c r="Q22" s="6"/>
      <c r="R22" s="43" t="s">
        <v>7</v>
      </c>
      <c r="S22" s="44"/>
      <c r="T22" s="6"/>
      <c r="U22" s="43" t="s">
        <v>8</v>
      </c>
      <c r="V22" s="44"/>
      <c r="W22" s="6"/>
      <c r="X22" s="43" t="s">
        <v>9</v>
      </c>
      <c r="Y22" s="44"/>
      <c r="AB22" s="26"/>
      <c r="AC22" s="26"/>
      <c r="AD22" s="26"/>
      <c r="AE22" s="26"/>
      <c r="AF22" s="26"/>
      <c r="AG22" s="26"/>
      <c r="AH22" s="26"/>
    </row>
    <row r="23" spans="1:34">
      <c r="A23" s="40"/>
      <c r="B23" s="6" t="s">
        <v>10</v>
      </c>
      <c r="C23" s="6">
        <f t="shared" ref="C23:C30" si="0">P2</f>
        <v>9.8000000000000007</v>
      </c>
      <c r="D23" s="6"/>
      <c r="E23" s="6" t="s">
        <v>10</v>
      </c>
      <c r="F23" s="6">
        <f>S2</f>
        <v>9</v>
      </c>
      <c r="G23" s="6"/>
      <c r="H23" s="6" t="s">
        <v>10</v>
      </c>
      <c r="I23" s="6">
        <f>V2</f>
        <v>12.4</v>
      </c>
      <c r="J23" s="6"/>
      <c r="K23" s="6" t="s">
        <v>10</v>
      </c>
      <c r="L23" s="6">
        <f t="shared" ref="L23:L28" si="1">Y2</f>
        <v>7.8</v>
      </c>
      <c r="N23" s="40"/>
      <c r="O23" s="6" t="s">
        <v>10</v>
      </c>
      <c r="P23" s="6">
        <f>C2+C2*P34</f>
        <v>15.4</v>
      </c>
      <c r="Q23" s="6"/>
      <c r="R23" s="6" t="s">
        <v>10</v>
      </c>
      <c r="S23" s="6">
        <f>F2+F2*S34</f>
        <v>12.899999999999999</v>
      </c>
      <c r="T23" s="6"/>
      <c r="U23" s="6" t="s">
        <v>10</v>
      </c>
      <c r="V23" s="6">
        <f>I2+I2*V34</f>
        <v>16</v>
      </c>
      <c r="W23" s="6"/>
      <c r="X23" s="6" t="s">
        <v>10</v>
      </c>
      <c r="Y23" s="6">
        <f>L2+L2*Y34</f>
        <v>12.3</v>
      </c>
      <c r="AB23" s="26"/>
      <c r="AC23" s="26"/>
      <c r="AD23" s="26"/>
      <c r="AE23" s="26"/>
      <c r="AF23" s="26"/>
      <c r="AG23" s="26"/>
      <c r="AH23" s="26"/>
    </row>
    <row r="24" spans="1:34">
      <c r="A24" s="40"/>
      <c r="B24" s="6" t="s">
        <v>11</v>
      </c>
      <c r="C24" s="1">
        <f t="shared" si="0"/>
        <v>0.2</v>
      </c>
      <c r="D24" s="6"/>
      <c r="E24" s="6" t="s">
        <v>11</v>
      </c>
      <c r="F24" s="1">
        <f>S3</f>
        <v>0.16999999999999998</v>
      </c>
      <c r="G24" s="6"/>
      <c r="H24" s="6" t="s">
        <v>11</v>
      </c>
      <c r="I24" s="1">
        <f>V3</f>
        <v>0.03</v>
      </c>
      <c r="J24" s="6"/>
      <c r="K24" s="6" t="s">
        <v>11</v>
      </c>
      <c r="L24" s="1">
        <f t="shared" si="1"/>
        <v>0.30000000000000004</v>
      </c>
      <c r="N24" s="40"/>
      <c r="O24" s="6" t="s">
        <v>11</v>
      </c>
      <c r="P24" s="1">
        <f>C24+P35</f>
        <v>0.30000000000000004</v>
      </c>
      <c r="Q24" s="6"/>
      <c r="R24" s="6" t="s">
        <v>11</v>
      </c>
      <c r="S24" s="1">
        <f>F24+S35</f>
        <v>0.22999999999999998</v>
      </c>
      <c r="T24" s="6"/>
      <c r="U24" s="6" t="s">
        <v>11</v>
      </c>
      <c r="V24" s="1">
        <f>I24+V35</f>
        <v>0.03</v>
      </c>
      <c r="W24" s="6"/>
      <c r="X24" s="6" t="s">
        <v>11</v>
      </c>
      <c r="Y24" s="1">
        <f>L24+Y35</f>
        <v>0.55000000000000004</v>
      </c>
      <c r="AB24" s="26"/>
      <c r="AC24" s="26"/>
      <c r="AD24" s="26"/>
      <c r="AE24" s="26"/>
      <c r="AF24" s="26"/>
      <c r="AG24" s="26"/>
      <c r="AH24" s="26"/>
    </row>
    <row r="25" spans="1:34">
      <c r="A25" s="40"/>
      <c r="B25" s="6" t="s">
        <v>12</v>
      </c>
      <c r="C25" s="1">
        <f t="shared" si="0"/>
        <v>1.7</v>
      </c>
      <c r="D25" s="6"/>
      <c r="E25" s="6" t="s">
        <v>12</v>
      </c>
      <c r="F25" s="1">
        <f>S4</f>
        <v>1.8499999999999999</v>
      </c>
      <c r="G25" s="6"/>
      <c r="H25" s="6" t="s">
        <v>12</v>
      </c>
      <c r="I25" s="1">
        <f>V4</f>
        <v>2.1999999999999997</v>
      </c>
      <c r="J25" s="6"/>
      <c r="K25" s="6" t="s">
        <v>12</v>
      </c>
      <c r="L25" s="1">
        <f t="shared" si="1"/>
        <v>1.6</v>
      </c>
      <c r="N25" s="40"/>
      <c r="O25" s="6" t="s">
        <v>12</v>
      </c>
      <c r="P25" s="1">
        <f>C25+P36</f>
        <v>1.93</v>
      </c>
      <c r="Q25" s="6"/>
      <c r="R25" s="6" t="s">
        <v>12</v>
      </c>
      <c r="S25" s="1">
        <f>F25+S36</f>
        <v>1.8499999999999999</v>
      </c>
      <c r="T25" s="6"/>
      <c r="U25" s="6" t="s">
        <v>12</v>
      </c>
      <c r="V25" s="1">
        <f>I25+V36</f>
        <v>3</v>
      </c>
      <c r="W25" s="6"/>
      <c r="X25" s="6" t="s">
        <v>12</v>
      </c>
      <c r="Y25" s="1">
        <f>L25+Y36</f>
        <v>1.82</v>
      </c>
    </row>
    <row r="26" spans="1:34">
      <c r="A26" s="40"/>
      <c r="B26" s="6" t="s">
        <v>13</v>
      </c>
      <c r="C26" s="6">
        <f t="shared" si="0"/>
        <v>6</v>
      </c>
      <c r="D26" s="6"/>
      <c r="E26" s="6" t="s">
        <v>13</v>
      </c>
      <c r="F26" s="6">
        <f>S5</f>
        <v>1</v>
      </c>
      <c r="G26" s="6"/>
      <c r="H26" s="6" t="s">
        <v>13</v>
      </c>
      <c r="I26" s="6">
        <v>1</v>
      </c>
      <c r="J26" s="6"/>
      <c r="K26" s="6" t="s">
        <v>13</v>
      </c>
      <c r="L26" s="6">
        <f t="shared" si="1"/>
        <v>1.5</v>
      </c>
      <c r="N26" s="40"/>
      <c r="O26" s="6" t="s">
        <v>13</v>
      </c>
      <c r="P26" s="6">
        <f>C26+P37</f>
        <v>6</v>
      </c>
      <c r="Q26" s="6"/>
      <c r="R26" s="6" t="s">
        <v>13</v>
      </c>
      <c r="S26" s="6">
        <f>F26+S37</f>
        <v>1</v>
      </c>
      <c r="T26" s="6"/>
      <c r="U26" s="6" t="s">
        <v>13</v>
      </c>
      <c r="V26" s="6">
        <f>I26+V37</f>
        <v>1</v>
      </c>
      <c r="W26" s="6"/>
      <c r="X26" s="6" t="s">
        <v>13</v>
      </c>
      <c r="Y26" s="6">
        <f>L26+Y37</f>
        <v>1.5</v>
      </c>
    </row>
    <row r="27" spans="1:34">
      <c r="A27" s="40"/>
      <c r="B27" s="6" t="s">
        <v>14</v>
      </c>
      <c r="C27" s="6">
        <f t="shared" si="0"/>
        <v>0</v>
      </c>
      <c r="D27" s="6"/>
      <c r="E27" s="6" t="s">
        <v>14</v>
      </c>
      <c r="F27" s="6">
        <v>0.25</v>
      </c>
      <c r="G27" s="6"/>
      <c r="H27" s="6" t="s">
        <v>14</v>
      </c>
      <c r="I27" s="6">
        <v>0.5</v>
      </c>
      <c r="J27" s="6"/>
      <c r="K27" s="6" t="s">
        <v>14</v>
      </c>
      <c r="L27" s="6">
        <f t="shared" si="1"/>
        <v>0</v>
      </c>
      <c r="N27" s="40"/>
      <c r="O27" s="6" t="s">
        <v>14</v>
      </c>
      <c r="P27" s="6">
        <f>AC6</f>
        <v>0</v>
      </c>
      <c r="Q27" s="6"/>
      <c r="R27" s="6" t="s">
        <v>14</v>
      </c>
      <c r="S27" s="6">
        <v>0.25</v>
      </c>
      <c r="T27" s="6"/>
      <c r="U27" s="6" t="s">
        <v>14</v>
      </c>
      <c r="V27" s="6">
        <v>0.5</v>
      </c>
      <c r="W27" s="6"/>
      <c r="X27" s="6" t="s">
        <v>14</v>
      </c>
      <c r="Y27" s="6">
        <f>AL6</f>
        <v>0</v>
      </c>
    </row>
    <row r="28" spans="1:34">
      <c r="A28" s="40"/>
      <c r="B28" s="6" t="s">
        <v>15</v>
      </c>
      <c r="C28" s="1">
        <f t="shared" si="0"/>
        <v>1</v>
      </c>
      <c r="D28" s="6"/>
      <c r="E28" s="6" t="s">
        <v>15</v>
      </c>
      <c r="F28" s="1">
        <f>S7</f>
        <v>1.3</v>
      </c>
      <c r="G28" s="6"/>
      <c r="H28" s="6" t="s">
        <v>15</v>
      </c>
      <c r="I28" s="1">
        <f>V7</f>
        <v>1</v>
      </c>
      <c r="J28" s="6"/>
      <c r="K28" s="6" t="s">
        <v>15</v>
      </c>
      <c r="L28" s="1">
        <f t="shared" si="1"/>
        <v>1</v>
      </c>
      <c r="N28" s="40"/>
      <c r="O28" s="6" t="s">
        <v>15</v>
      </c>
      <c r="P28" s="1">
        <f>C28+P38</f>
        <v>1.05</v>
      </c>
      <c r="Q28" s="6"/>
      <c r="R28" s="6" t="s">
        <v>15</v>
      </c>
      <c r="S28" s="1">
        <f>F28+S38</f>
        <v>1.45</v>
      </c>
      <c r="T28" s="6"/>
      <c r="U28" s="6" t="s">
        <v>15</v>
      </c>
      <c r="V28" s="1">
        <f>I28+V38</f>
        <v>1</v>
      </c>
      <c r="W28" s="6"/>
      <c r="X28" s="6" t="s">
        <v>15</v>
      </c>
      <c r="Y28" s="1">
        <f>L28+Y38</f>
        <v>1</v>
      </c>
    </row>
    <row r="29" spans="1:34">
      <c r="A29" s="40"/>
      <c r="B29" s="6" t="s">
        <v>16</v>
      </c>
      <c r="C29" s="6">
        <f t="shared" si="0"/>
        <v>1</v>
      </c>
      <c r="D29" s="6"/>
      <c r="E29" s="6" t="s">
        <v>16</v>
      </c>
      <c r="F29" s="6">
        <v>2</v>
      </c>
      <c r="G29" s="6"/>
      <c r="H29" s="6" t="s">
        <v>16</v>
      </c>
      <c r="I29" s="6">
        <f>V8</f>
        <v>5</v>
      </c>
      <c r="J29" s="6"/>
      <c r="K29" s="6" t="s">
        <v>16</v>
      </c>
      <c r="L29" s="6">
        <v>1</v>
      </c>
      <c r="N29" s="40"/>
      <c r="O29" s="6" t="s">
        <v>16</v>
      </c>
      <c r="P29" s="6">
        <f>C29+P39</f>
        <v>1</v>
      </c>
      <c r="Q29" s="6"/>
      <c r="R29" s="6" t="s">
        <v>16</v>
      </c>
      <c r="S29" s="6">
        <f>F29+S39</f>
        <v>2</v>
      </c>
      <c r="T29" s="6"/>
      <c r="U29" s="6" t="s">
        <v>16</v>
      </c>
      <c r="V29" s="6">
        <f>I29+V39</f>
        <v>5</v>
      </c>
      <c r="W29" s="6"/>
      <c r="X29" s="6" t="s">
        <v>16</v>
      </c>
      <c r="Y29" s="6">
        <f>L29+Y39</f>
        <v>1</v>
      </c>
    </row>
    <row r="30" spans="1:34">
      <c r="A30" s="40"/>
      <c r="B30" s="6" t="s">
        <v>17</v>
      </c>
      <c r="C30" s="1">
        <f t="shared" si="0"/>
        <v>0.5</v>
      </c>
      <c r="D30" s="6"/>
      <c r="E30" s="6" t="s">
        <v>17</v>
      </c>
      <c r="F30" s="1">
        <f>S9</f>
        <v>0.4</v>
      </c>
      <c r="G30" s="6"/>
      <c r="H30" s="6" t="s">
        <v>17</v>
      </c>
      <c r="I30" s="1">
        <f>V9</f>
        <v>1</v>
      </c>
      <c r="J30" s="6"/>
      <c r="K30" s="6" t="s">
        <v>17</v>
      </c>
      <c r="L30" s="1">
        <f>Y9</f>
        <v>2</v>
      </c>
      <c r="N30" s="40"/>
      <c r="O30" s="6" t="s">
        <v>17</v>
      </c>
      <c r="P30" s="1">
        <f>C30</f>
        <v>0.5</v>
      </c>
      <c r="Q30" s="6"/>
      <c r="R30" s="6" t="s">
        <v>17</v>
      </c>
      <c r="S30" s="1">
        <v>0.45</v>
      </c>
      <c r="T30" s="6"/>
      <c r="U30" s="6" t="s">
        <v>17</v>
      </c>
      <c r="V30" s="1">
        <f>I30</f>
        <v>1</v>
      </c>
      <c r="W30" s="6"/>
      <c r="X30" s="6" t="s">
        <v>17</v>
      </c>
      <c r="Y30" s="1">
        <f>L30</f>
        <v>2</v>
      </c>
    </row>
    <row r="31" spans="1:34">
      <c r="A31" s="40"/>
      <c r="B31" s="6" t="s">
        <v>28</v>
      </c>
      <c r="C31" s="7">
        <v>1.6</v>
      </c>
      <c r="D31" s="6"/>
      <c r="E31" s="6" t="s">
        <v>18</v>
      </c>
      <c r="F31" s="1">
        <f>S10</f>
        <v>0.3</v>
      </c>
      <c r="G31" s="6"/>
      <c r="H31" s="6" t="s">
        <v>18</v>
      </c>
      <c r="I31" s="1">
        <v>0.3</v>
      </c>
      <c r="J31" s="6"/>
      <c r="K31" s="6"/>
      <c r="L31" s="6"/>
      <c r="N31" s="40"/>
      <c r="O31" s="6" t="s">
        <v>28</v>
      </c>
      <c r="P31" s="7">
        <f>C31</f>
        <v>1.6</v>
      </c>
      <c r="Q31" s="6"/>
      <c r="R31" s="6" t="s">
        <v>18</v>
      </c>
      <c r="S31" s="1">
        <v>0.3</v>
      </c>
      <c r="T31" s="6"/>
      <c r="U31" s="6" t="s">
        <v>18</v>
      </c>
      <c r="V31" s="1">
        <f>I31</f>
        <v>0.3</v>
      </c>
      <c r="W31" s="6"/>
      <c r="X31" s="6"/>
      <c r="Y31" s="6"/>
    </row>
    <row r="32" spans="1:34">
      <c r="A32" s="4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N32" s="40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>
      <c r="A33" s="40"/>
      <c r="B33" s="6" t="s">
        <v>29</v>
      </c>
      <c r="C33" s="6"/>
      <c r="D33" s="6"/>
      <c r="E33" s="6"/>
      <c r="F33" s="6"/>
      <c r="G33" s="6"/>
      <c r="H33" s="6"/>
      <c r="I33" s="6"/>
      <c r="J33" s="6"/>
      <c r="K33" s="6"/>
      <c r="L33" s="6"/>
      <c r="N33" s="40"/>
      <c r="O33" s="6" t="s">
        <v>30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>
      <c r="B34" s="45" t="s">
        <v>31</v>
      </c>
      <c r="C34" s="46"/>
      <c r="D34" s="6"/>
      <c r="E34" s="45" t="s">
        <v>32</v>
      </c>
      <c r="F34" s="46"/>
      <c r="G34" s="6"/>
      <c r="H34" s="45" t="s">
        <v>33</v>
      </c>
      <c r="I34" s="46"/>
      <c r="J34" s="6"/>
      <c r="K34" s="45" t="s">
        <v>34</v>
      </c>
      <c r="L34" s="46"/>
      <c r="O34" s="6" t="s">
        <v>21</v>
      </c>
      <c r="P34" s="1">
        <v>1.2</v>
      </c>
      <c r="Q34" s="6"/>
      <c r="R34" s="6"/>
      <c r="S34" s="1">
        <v>1.1499999999999999</v>
      </c>
      <c r="T34" s="6"/>
      <c r="U34" s="6"/>
      <c r="V34" s="1">
        <v>1</v>
      </c>
      <c r="W34" s="6"/>
      <c r="X34" s="6"/>
      <c r="Y34" s="1">
        <v>1.05</v>
      </c>
    </row>
    <row r="35" spans="1:25">
      <c r="B35" s="47"/>
      <c r="C35" s="40"/>
      <c r="D35" s="6"/>
      <c r="E35" s="47"/>
      <c r="F35" s="40"/>
      <c r="G35" s="6"/>
      <c r="H35" s="47"/>
      <c r="I35" s="40"/>
      <c r="J35" s="6"/>
      <c r="K35" s="47"/>
      <c r="L35" s="40"/>
      <c r="O35" s="6" t="s">
        <v>11</v>
      </c>
      <c r="P35" s="1">
        <v>0.1</v>
      </c>
      <c r="Q35" s="1"/>
      <c r="R35" s="1"/>
      <c r="S35" s="1">
        <v>0.06</v>
      </c>
      <c r="T35" s="1"/>
      <c r="U35" s="1"/>
      <c r="V35" s="1"/>
      <c r="W35" s="1"/>
      <c r="X35" s="1"/>
      <c r="Y35" s="1">
        <v>0.25</v>
      </c>
    </row>
    <row r="36" spans="1:25">
      <c r="B36" s="47"/>
      <c r="C36" s="40"/>
      <c r="D36" s="6"/>
      <c r="E36" s="47"/>
      <c r="F36" s="40"/>
      <c r="G36" s="6"/>
      <c r="H36" s="47"/>
      <c r="I36" s="40"/>
      <c r="J36" s="6"/>
      <c r="K36" s="47"/>
      <c r="L36" s="40"/>
      <c r="O36" s="6" t="s">
        <v>12</v>
      </c>
      <c r="P36" s="1">
        <v>0.23</v>
      </c>
      <c r="Q36" s="1"/>
      <c r="R36" s="1"/>
      <c r="S36" s="1"/>
      <c r="T36" s="1"/>
      <c r="U36" s="1"/>
      <c r="V36" s="1">
        <v>0.8</v>
      </c>
      <c r="W36" s="1"/>
      <c r="X36" s="1"/>
      <c r="Y36" s="1">
        <v>0.22</v>
      </c>
    </row>
    <row r="37" spans="1:25">
      <c r="B37" s="47"/>
      <c r="C37" s="40"/>
      <c r="D37" s="6"/>
      <c r="E37" s="47"/>
      <c r="F37" s="40"/>
      <c r="G37" s="6"/>
      <c r="H37" s="47"/>
      <c r="I37" s="40"/>
      <c r="J37" s="6"/>
      <c r="K37" s="47"/>
      <c r="L37" s="40"/>
      <c r="O37" s="6" t="s">
        <v>22</v>
      </c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>
      <c r="B38" s="47"/>
      <c r="C38" s="40"/>
      <c r="D38" s="6"/>
      <c r="E38" s="47"/>
      <c r="F38" s="40"/>
      <c r="G38" s="6"/>
      <c r="H38" s="47"/>
      <c r="I38" s="40"/>
      <c r="J38" s="6"/>
      <c r="K38" s="47"/>
      <c r="L38" s="40"/>
      <c r="O38" s="6" t="s">
        <v>15</v>
      </c>
      <c r="P38" s="1">
        <v>0.05</v>
      </c>
      <c r="Q38" s="6"/>
      <c r="R38" s="6"/>
      <c r="S38" s="1">
        <v>0.15</v>
      </c>
      <c r="T38" s="6"/>
      <c r="U38" s="6"/>
      <c r="V38" s="6"/>
      <c r="W38" s="6"/>
      <c r="X38" s="6"/>
      <c r="Y38" s="6"/>
    </row>
    <row r="39" spans="1:25">
      <c r="B39" s="48"/>
      <c r="C39" s="49"/>
      <c r="D39" s="6"/>
      <c r="E39" s="48"/>
      <c r="F39" s="49"/>
      <c r="G39" s="6"/>
      <c r="H39" s="48"/>
      <c r="I39" s="49"/>
      <c r="J39" s="6"/>
      <c r="K39" s="48"/>
      <c r="L39" s="49"/>
      <c r="O39" s="6" t="s">
        <v>16</v>
      </c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>
      <c r="A40" t="s">
        <v>35</v>
      </c>
      <c r="N40" t="s">
        <v>35</v>
      </c>
    </row>
    <row r="41" spans="1:25">
      <c r="B41" s="41">
        <f>(C23*C31*(1+C24*C25)*C28*0.2)*3</f>
        <v>12.606720000000003</v>
      </c>
      <c r="C41" s="42"/>
      <c r="E41" s="50">
        <v>0.2</v>
      </c>
      <c r="F41" s="42"/>
      <c r="H41" s="41">
        <f>I23*I31*(1+I24*I25)*(1/I27)*3</f>
        <v>23.793120000000002</v>
      </c>
      <c r="I41" s="42"/>
      <c r="K41" s="41">
        <f>X19*0.25*2</f>
        <v>17.316000000000003</v>
      </c>
      <c r="L41" s="42"/>
      <c r="O41" s="41">
        <f>(P23*P31*(1+P24*P25)*P28*0.2)*3</f>
        <v>24.511132800000006</v>
      </c>
      <c r="P41" s="42"/>
      <c r="R41" s="50">
        <v>0.2</v>
      </c>
      <c r="S41" s="42"/>
      <c r="U41" s="41">
        <f>V23*V31*(1+V24*V25)*(1/V27)*2</f>
        <v>20.928000000000001</v>
      </c>
      <c r="V41" s="42"/>
      <c r="X41" s="41">
        <f>0.2*2*Y23*Y30*(1+Y24*Y25)*Y28*Y26*Y29</f>
        <v>29.534760000000013</v>
      </c>
      <c r="Y41" s="42"/>
    </row>
    <row r="42" spans="1:25">
      <c r="A42" s="3"/>
      <c r="N42" s="3"/>
    </row>
    <row r="43" spans="1:25">
      <c r="A43" t="s">
        <v>36</v>
      </c>
      <c r="B43" s="41"/>
      <c r="C43" s="42"/>
      <c r="E43" s="41"/>
      <c r="F43" s="42"/>
      <c r="H43" s="41"/>
      <c r="I43" s="42"/>
      <c r="K43" s="41"/>
      <c r="L43" s="42"/>
      <c r="N43" t="s">
        <v>36</v>
      </c>
      <c r="O43" s="41"/>
      <c r="P43" s="42"/>
      <c r="R43" s="41"/>
      <c r="S43" s="42"/>
      <c r="U43" s="41"/>
      <c r="V43" s="42"/>
      <c r="X43" s="41"/>
      <c r="Y43" s="42"/>
    </row>
    <row r="44" spans="1:25">
      <c r="B44" s="41">
        <f>(O19+B41)*1.15</f>
        <v>59.803128000000001</v>
      </c>
      <c r="C44" s="42"/>
      <c r="E44" s="41">
        <f>(F23*F28*(1+F24*F25)*F26*F29*F30+F23*F28*(1+F24*F25)*(1/F27)*F29*F31)*1.2</f>
        <v>59.057856000000008</v>
      </c>
      <c r="F44" s="42"/>
      <c r="H44" s="41">
        <f>U19+H41</f>
        <v>63.448320000000002</v>
      </c>
      <c r="I44" s="42"/>
      <c r="K44" s="41">
        <f>X19+K41</f>
        <v>51.948000000000008</v>
      </c>
      <c r="L44" s="42"/>
      <c r="O44" s="41">
        <f>(P23*P30*(1+P24*P25)*P26*P28+O41)*1.15</f>
        <v>116.27468622000002</v>
      </c>
      <c r="P44" s="42"/>
      <c r="R44" s="41">
        <f>(S23*S28*(1+S24*S25)*S26*S29*S30+S23*S28*(1+S24*S25)*(1/S27)*S29*S31)*1.2</f>
        <v>105.58935089999999</v>
      </c>
      <c r="S44" s="42"/>
      <c r="U44" s="41">
        <f>V23*V30*(1+V24*V25)*V28*V26*V29+U41</f>
        <v>108.128</v>
      </c>
      <c r="V44" s="42"/>
      <c r="X44" s="41">
        <f>Y23*Y30*(1+Y24*Y25)*Y28*Y26*Y29+X41</f>
        <v>103.37166000000002</v>
      </c>
      <c r="Y44" s="42"/>
    </row>
    <row r="47" spans="1:25">
      <c r="O47" s="41"/>
      <c r="P47" s="42"/>
      <c r="R47" s="41"/>
      <c r="S47" s="42"/>
      <c r="U47" s="41"/>
      <c r="V47" s="42"/>
      <c r="X47" s="41"/>
      <c r="Y47" s="42"/>
    </row>
    <row r="50" spans="1:25">
      <c r="A50" s="39" t="s">
        <v>37</v>
      </c>
      <c r="B50" s="43" t="s">
        <v>6</v>
      </c>
      <c r="C50" s="44"/>
      <c r="D50" s="6"/>
      <c r="E50" s="43" t="s">
        <v>7</v>
      </c>
      <c r="F50" s="44"/>
      <c r="G50" s="6"/>
      <c r="H50" s="43" t="s">
        <v>8</v>
      </c>
      <c r="I50" s="44"/>
      <c r="J50" s="6"/>
      <c r="K50" s="43" t="s">
        <v>9</v>
      </c>
      <c r="L50" s="44"/>
    </row>
    <row r="51" spans="1:25">
      <c r="A51" s="40"/>
      <c r="B51" s="6" t="s">
        <v>10</v>
      </c>
      <c r="C51" s="6">
        <f t="shared" ref="C51:C59" si="2">P23</f>
        <v>15.4</v>
      </c>
      <c r="D51" s="6"/>
      <c r="E51" s="6" t="s">
        <v>10</v>
      </c>
      <c r="F51" s="6">
        <f t="shared" ref="F51:F57" si="3">S23</f>
        <v>12.899999999999999</v>
      </c>
      <c r="G51" s="6"/>
      <c r="H51" s="6" t="s">
        <v>10</v>
      </c>
      <c r="I51" s="6">
        <f t="shared" ref="I51:I57" si="4">V23</f>
        <v>16</v>
      </c>
      <c r="J51" s="6"/>
      <c r="K51" s="6" t="s">
        <v>10</v>
      </c>
      <c r="L51" s="6">
        <f>Y23</f>
        <v>12.3</v>
      </c>
    </row>
    <row r="52" spans="1:25">
      <c r="A52" s="40"/>
      <c r="B52" s="6" t="s">
        <v>11</v>
      </c>
      <c r="C52" s="6">
        <f t="shared" si="2"/>
        <v>0.30000000000000004</v>
      </c>
      <c r="D52" s="6"/>
      <c r="E52" s="6" t="s">
        <v>11</v>
      </c>
      <c r="F52" s="6">
        <f t="shared" si="3"/>
        <v>0.22999999999999998</v>
      </c>
      <c r="G52" s="6"/>
      <c r="H52" s="6" t="s">
        <v>11</v>
      </c>
      <c r="I52" s="6">
        <f t="shared" si="4"/>
        <v>0.03</v>
      </c>
      <c r="J52" s="6"/>
      <c r="K52" s="6" t="s">
        <v>11</v>
      </c>
      <c r="L52" s="6">
        <f>Y24</f>
        <v>0.55000000000000004</v>
      </c>
    </row>
    <row r="53" spans="1:25">
      <c r="A53" s="40"/>
      <c r="B53" s="6" t="s">
        <v>12</v>
      </c>
      <c r="C53" s="6">
        <f t="shared" si="2"/>
        <v>1.93</v>
      </c>
      <c r="D53" s="6"/>
      <c r="E53" s="6" t="s">
        <v>12</v>
      </c>
      <c r="F53" s="6">
        <f t="shared" si="3"/>
        <v>1.8499999999999999</v>
      </c>
      <c r="G53" s="6"/>
      <c r="H53" s="6" t="s">
        <v>12</v>
      </c>
      <c r="I53" s="6">
        <f t="shared" si="4"/>
        <v>3</v>
      </c>
      <c r="J53" s="6"/>
      <c r="K53" s="6" t="s">
        <v>12</v>
      </c>
      <c r="L53" s="6">
        <f>Y25</f>
        <v>1.82</v>
      </c>
    </row>
    <row r="54" spans="1:25" ht="14.25" customHeight="1">
      <c r="A54" s="40"/>
      <c r="B54" s="6" t="s">
        <v>13</v>
      </c>
      <c r="C54" s="6">
        <f t="shared" si="2"/>
        <v>6</v>
      </c>
      <c r="D54" s="6"/>
      <c r="E54" s="6" t="s">
        <v>13</v>
      </c>
      <c r="F54" s="6">
        <f t="shared" si="3"/>
        <v>1</v>
      </c>
      <c r="G54" s="6"/>
      <c r="H54" s="6" t="s">
        <v>13</v>
      </c>
      <c r="I54" s="6">
        <f t="shared" si="4"/>
        <v>1</v>
      </c>
      <c r="J54" s="6"/>
      <c r="K54" s="6" t="s">
        <v>13</v>
      </c>
      <c r="L54" s="6">
        <v>1</v>
      </c>
    </row>
    <row r="55" spans="1:25">
      <c r="A55" s="40"/>
      <c r="B55" s="6" t="s">
        <v>38</v>
      </c>
      <c r="C55" s="6">
        <f t="shared" si="2"/>
        <v>0</v>
      </c>
      <c r="D55" s="6"/>
      <c r="E55" s="6" t="s">
        <v>38</v>
      </c>
      <c r="F55" s="6">
        <f t="shared" si="3"/>
        <v>0.25</v>
      </c>
      <c r="G55" s="6"/>
      <c r="H55" s="6" t="s">
        <v>38</v>
      </c>
      <c r="I55" s="6">
        <f t="shared" si="4"/>
        <v>0.5</v>
      </c>
      <c r="J55" s="6"/>
      <c r="K55" s="6" t="s">
        <v>38</v>
      </c>
      <c r="L55" s="6">
        <f>Y27</f>
        <v>0</v>
      </c>
    </row>
    <row r="56" spans="1:25" ht="14.25" customHeight="1">
      <c r="A56" s="40"/>
      <c r="B56" s="6" t="s">
        <v>15</v>
      </c>
      <c r="C56" s="6">
        <f t="shared" si="2"/>
        <v>1.05</v>
      </c>
      <c r="D56" s="6"/>
      <c r="E56" s="6" t="s">
        <v>15</v>
      </c>
      <c r="F56" s="6">
        <f t="shared" si="3"/>
        <v>1.45</v>
      </c>
      <c r="G56" s="6"/>
      <c r="H56" s="6" t="s">
        <v>15</v>
      </c>
      <c r="I56" s="6">
        <f t="shared" si="4"/>
        <v>1</v>
      </c>
      <c r="J56" s="6"/>
      <c r="K56" s="6" t="s">
        <v>15</v>
      </c>
      <c r="L56" s="6">
        <f>Y28</f>
        <v>1</v>
      </c>
      <c r="P56" s="28"/>
    </row>
    <row r="57" spans="1:25">
      <c r="A57" s="40"/>
      <c r="B57" s="6" t="s">
        <v>16</v>
      </c>
      <c r="C57" s="6">
        <f t="shared" si="2"/>
        <v>1</v>
      </c>
      <c r="D57" s="6"/>
      <c r="E57" s="6" t="s">
        <v>16</v>
      </c>
      <c r="F57" s="6">
        <f t="shared" si="3"/>
        <v>2</v>
      </c>
      <c r="G57" s="6"/>
      <c r="H57" s="6" t="s">
        <v>16</v>
      </c>
      <c r="I57" s="6">
        <f t="shared" si="4"/>
        <v>5</v>
      </c>
      <c r="J57" s="6"/>
      <c r="K57" s="6" t="s">
        <v>16</v>
      </c>
      <c r="L57" s="6">
        <f>Y29</f>
        <v>1</v>
      </c>
    </row>
    <row r="58" spans="1:25">
      <c r="A58" s="40"/>
      <c r="B58" s="6" t="s">
        <v>17</v>
      </c>
      <c r="C58" s="1">
        <f t="shared" si="2"/>
        <v>0.5</v>
      </c>
      <c r="D58" s="6"/>
      <c r="E58" s="6" t="s">
        <v>17</v>
      </c>
      <c r="F58" s="1">
        <v>0.45</v>
      </c>
      <c r="G58" s="6"/>
      <c r="H58" s="6" t="s">
        <v>17</v>
      </c>
      <c r="I58" s="1">
        <v>1.06</v>
      </c>
      <c r="J58" s="6"/>
      <c r="K58" s="6" t="s">
        <v>17</v>
      </c>
      <c r="L58" s="1">
        <v>1.28</v>
      </c>
      <c r="P58" s="8"/>
      <c r="S58" s="8"/>
      <c r="V58" s="8"/>
      <c r="Y58" s="8"/>
    </row>
    <row r="59" spans="1:25">
      <c r="A59" s="40"/>
      <c r="B59" s="6" t="s">
        <v>28</v>
      </c>
      <c r="C59" s="7">
        <f t="shared" si="2"/>
        <v>1.6</v>
      </c>
      <c r="D59" s="6"/>
      <c r="E59" s="6" t="s">
        <v>18</v>
      </c>
      <c r="F59" s="1">
        <v>0.3</v>
      </c>
      <c r="G59" s="6"/>
      <c r="H59" s="6" t="s">
        <v>18</v>
      </c>
      <c r="I59" s="1">
        <f>V31</f>
        <v>0.3</v>
      </c>
      <c r="J59" s="6"/>
      <c r="K59" s="6"/>
      <c r="L59" s="6"/>
      <c r="S59" s="8"/>
    </row>
    <row r="60" spans="1:25">
      <c r="A60" s="4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25">
      <c r="A61" s="40"/>
      <c r="B61" s="6" t="s">
        <v>39</v>
      </c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25" ht="14.25" customHeight="1">
      <c r="B62" s="45" t="s">
        <v>40</v>
      </c>
      <c r="C62" s="46"/>
      <c r="D62" s="6"/>
      <c r="E62" s="45" t="s">
        <v>41</v>
      </c>
      <c r="F62" s="46"/>
      <c r="G62" s="6"/>
      <c r="H62" s="45" t="s">
        <v>42</v>
      </c>
      <c r="I62" s="46"/>
      <c r="J62" s="6"/>
      <c r="K62" s="45" t="s">
        <v>43</v>
      </c>
      <c r="L62" s="46"/>
    </row>
    <row r="63" spans="1:25">
      <c r="B63" s="47"/>
      <c r="C63" s="40"/>
      <c r="D63" s="6"/>
      <c r="E63" s="47"/>
      <c r="F63" s="40"/>
      <c r="G63" s="6"/>
      <c r="H63" s="47"/>
      <c r="I63" s="40"/>
      <c r="J63" s="6"/>
      <c r="K63" s="47"/>
      <c r="L63" s="40"/>
    </row>
    <row r="64" spans="1:25">
      <c r="B64" s="47"/>
      <c r="C64" s="40"/>
      <c r="D64" s="6"/>
      <c r="E64" s="47"/>
      <c r="F64" s="40"/>
      <c r="G64" s="6"/>
      <c r="H64" s="47"/>
      <c r="I64" s="40"/>
      <c r="J64" s="6"/>
      <c r="K64" s="47"/>
      <c r="L64" s="40"/>
    </row>
    <row r="65" spans="1:12">
      <c r="B65" s="47"/>
      <c r="C65" s="40"/>
      <c r="D65" s="6"/>
      <c r="E65" s="47"/>
      <c r="F65" s="40"/>
      <c r="G65" s="6"/>
      <c r="H65" s="47"/>
      <c r="I65" s="40"/>
      <c r="J65" s="6"/>
      <c r="K65" s="47"/>
      <c r="L65" s="40"/>
    </row>
    <row r="66" spans="1:12">
      <c r="B66" s="47"/>
      <c r="C66" s="40"/>
      <c r="D66" s="6"/>
      <c r="E66" s="47"/>
      <c r="F66" s="40"/>
      <c r="G66" s="6"/>
      <c r="H66" s="47"/>
      <c r="I66" s="40"/>
      <c r="J66" s="6"/>
      <c r="K66" s="47"/>
      <c r="L66" s="40"/>
    </row>
    <row r="67" spans="1:12" ht="38.25" customHeight="1">
      <c r="B67" s="48"/>
      <c r="C67" s="49"/>
      <c r="D67" s="6"/>
      <c r="E67" s="48"/>
      <c r="F67" s="49"/>
      <c r="G67" s="6"/>
      <c r="H67" s="48"/>
      <c r="I67" s="49"/>
      <c r="J67" s="6"/>
      <c r="K67" s="48"/>
      <c r="L67" s="49"/>
    </row>
    <row r="68" spans="1:12">
      <c r="A68" t="s">
        <v>35</v>
      </c>
    </row>
    <row r="69" spans="1:12">
      <c r="B69" s="41">
        <f>(C51*C59*(1+C52*C53)*C56*0.5)*3</f>
        <v>61.277832000000018</v>
      </c>
      <c r="C69" s="42"/>
      <c r="E69" s="50">
        <v>0.65</v>
      </c>
      <c r="F69" s="42"/>
      <c r="H69" s="41">
        <f>I51*I59*(1+I52*I53)*(1/I55)*6</f>
        <v>62.784000000000006</v>
      </c>
      <c r="I69" s="42"/>
      <c r="K69" s="41">
        <f>0.25*6*L51*L58*(1+L52*L53)*L56*L54*L57</f>
        <v>47.255616000000018</v>
      </c>
      <c r="L69" s="42"/>
    </row>
    <row r="70" spans="1:12">
      <c r="A70" s="3"/>
    </row>
    <row r="71" spans="1:12">
      <c r="A71" t="s">
        <v>36</v>
      </c>
      <c r="B71" s="41"/>
      <c r="C71" s="42"/>
      <c r="E71" s="41"/>
      <c r="F71" s="42"/>
      <c r="H71" s="41"/>
      <c r="I71" s="42"/>
      <c r="K71" s="41"/>
      <c r="L71" s="42"/>
    </row>
    <row r="72" spans="1:12">
      <c r="B72" s="41">
        <f>(C51*C58*(1+C52*C53)*C54*C56+B69)*1.15</f>
        <v>158.55639030000003</v>
      </c>
      <c r="C72" s="42"/>
      <c r="E72" s="41">
        <f>(F51*F58*(1+F52*F53)*F56*F54*F57+F51*F59*(1+F52*F53)*F56*(1/F55)*F57)*(1+E69)</f>
        <v>145.18535748749997</v>
      </c>
      <c r="F72" s="42"/>
      <c r="H72" s="41">
        <f>I51*I58*(1+I52*I53)*I56*I54*I57+H69</f>
        <v>155.21600000000001</v>
      </c>
      <c r="I72" s="42"/>
      <c r="K72" s="41">
        <f>(L51*L58*(1+L52*L53)*L56*L54*L57)*3+K69</f>
        <v>141.76684800000004</v>
      </c>
      <c r="L72" s="42"/>
    </row>
    <row r="75" spans="1:12">
      <c r="B75" s="41"/>
      <c r="C75" s="42"/>
      <c r="E75" s="41"/>
      <c r="F75" s="42"/>
      <c r="H75" s="41"/>
      <c r="I75" s="42"/>
      <c r="K75" s="41"/>
      <c r="L75" s="42"/>
    </row>
    <row r="83" spans="1:12">
      <c r="A83" s="3"/>
    </row>
    <row r="84" spans="1:12">
      <c r="A84" s="3"/>
    </row>
    <row r="85" spans="1:12">
      <c r="A85" s="3"/>
    </row>
    <row r="86" spans="1:12">
      <c r="A86" s="3"/>
    </row>
    <row r="87" spans="1:12" ht="14.25" customHeight="1">
      <c r="A87" s="3"/>
    </row>
    <row r="88" spans="1:12">
      <c r="A88" s="3"/>
    </row>
    <row r="89" spans="1:12">
      <c r="A89" s="3"/>
    </row>
    <row r="90" spans="1:12">
      <c r="A90" s="3"/>
    </row>
    <row r="91" spans="1:12">
      <c r="A91" s="3"/>
    </row>
    <row r="92" spans="1:12">
      <c r="A92" s="3"/>
    </row>
    <row r="93" spans="1:12">
      <c r="B93" s="2"/>
      <c r="C93" s="2"/>
      <c r="E93" s="2"/>
      <c r="F93" s="2"/>
      <c r="H93" s="2"/>
      <c r="I93" s="2"/>
      <c r="K93" s="2"/>
      <c r="L93" s="2"/>
    </row>
    <row r="94" spans="1:12">
      <c r="B94" s="2"/>
      <c r="C94" s="2"/>
      <c r="E94" s="2"/>
      <c r="F94" s="2"/>
      <c r="H94" s="2"/>
      <c r="I94" s="2"/>
      <c r="K94" s="2"/>
      <c r="L94" s="2"/>
    </row>
    <row r="95" spans="1:12">
      <c r="B95" s="2"/>
      <c r="C95" s="2"/>
      <c r="E95" s="2"/>
      <c r="F95" s="2"/>
      <c r="H95" s="2"/>
      <c r="I95" s="2"/>
      <c r="K95" s="2"/>
      <c r="L95" s="2"/>
    </row>
    <row r="96" spans="1:12">
      <c r="B96" s="2"/>
      <c r="C96" s="2"/>
      <c r="E96" s="2"/>
      <c r="F96" s="2"/>
      <c r="H96" s="2"/>
      <c r="I96" s="2"/>
      <c r="K96" s="2"/>
      <c r="L96" s="2"/>
    </row>
    <row r="97" spans="2:12">
      <c r="B97" s="2"/>
      <c r="C97" s="2"/>
      <c r="E97" s="2"/>
      <c r="F97" s="2"/>
      <c r="H97" s="2"/>
      <c r="I97" s="2"/>
      <c r="K97" s="2"/>
      <c r="L97" s="2"/>
    </row>
    <row r="98" spans="2:12">
      <c r="B98" s="2"/>
      <c r="C98" s="2"/>
      <c r="E98" s="2"/>
      <c r="F98" s="2"/>
      <c r="H98" s="2"/>
      <c r="I98" s="2"/>
      <c r="K98" s="2"/>
      <c r="L98" s="2"/>
    </row>
    <row r="99" spans="2:12">
      <c r="B99" s="2"/>
      <c r="C99" s="2"/>
      <c r="E99" s="2"/>
      <c r="F99" s="2"/>
      <c r="H99" s="2"/>
      <c r="I99" s="2"/>
      <c r="K99" s="2"/>
      <c r="L99" s="2"/>
    </row>
  </sheetData>
  <mergeCells count="93">
    <mergeCell ref="B69:C69"/>
    <mergeCell ref="O43:P43"/>
    <mergeCell ref="B19:C19"/>
    <mergeCell ref="E69:F69"/>
    <mergeCell ref="O22:P22"/>
    <mergeCell ref="B44:C44"/>
    <mergeCell ref="B22:C22"/>
    <mergeCell ref="B34:C39"/>
    <mergeCell ref="E1:F1"/>
    <mergeCell ref="K50:L50"/>
    <mergeCell ref="O1:P1"/>
    <mergeCell ref="O41:P41"/>
    <mergeCell ref="N1:N11"/>
    <mergeCell ref="B1:C1"/>
    <mergeCell ref="H72:I72"/>
    <mergeCell ref="R41:S41"/>
    <mergeCell ref="E62:F67"/>
    <mergeCell ref="R43:S43"/>
    <mergeCell ref="H71:I71"/>
    <mergeCell ref="H62:I67"/>
    <mergeCell ref="E72:F72"/>
    <mergeCell ref="E41:F41"/>
    <mergeCell ref="R44:S44"/>
    <mergeCell ref="E71:F71"/>
    <mergeCell ref="K34:L39"/>
    <mergeCell ref="K71:L71"/>
    <mergeCell ref="H22:I22"/>
    <mergeCell ref="O47:P47"/>
    <mergeCell ref="R22:S22"/>
    <mergeCell ref="A1:A11"/>
    <mergeCell ref="U22:V22"/>
    <mergeCell ref="X43:Y43"/>
    <mergeCell ref="E34:F39"/>
    <mergeCell ref="H1:I1"/>
    <mergeCell ref="H41:I41"/>
    <mergeCell ref="R19:S19"/>
    <mergeCell ref="B18:C18"/>
    <mergeCell ref="K1:L1"/>
    <mergeCell ref="X19:Y19"/>
    <mergeCell ref="K41:L41"/>
    <mergeCell ref="U41:V41"/>
    <mergeCell ref="N22:N33"/>
    <mergeCell ref="K43:L43"/>
    <mergeCell ref="U43:V43"/>
    <mergeCell ref="H19:I19"/>
    <mergeCell ref="U18:V18"/>
    <mergeCell ref="K62:L67"/>
    <mergeCell ref="X44:Y44"/>
    <mergeCell ref="U1:V1"/>
    <mergeCell ref="K19:L19"/>
    <mergeCell ref="U19:V19"/>
    <mergeCell ref="U44:V44"/>
    <mergeCell ref="R1:S1"/>
    <mergeCell ref="O19:P19"/>
    <mergeCell ref="K44:L44"/>
    <mergeCell ref="R18:S18"/>
    <mergeCell ref="O44:P44"/>
    <mergeCell ref="R47:S47"/>
    <mergeCell ref="X1:Y1"/>
    <mergeCell ref="U47:V47"/>
    <mergeCell ref="X18:Y18"/>
    <mergeCell ref="K18:L18"/>
    <mergeCell ref="B75:C75"/>
    <mergeCell ref="E43:F43"/>
    <mergeCell ref="H34:I39"/>
    <mergeCell ref="O18:P18"/>
    <mergeCell ref="H18:I18"/>
    <mergeCell ref="E18:F18"/>
    <mergeCell ref="E50:F50"/>
    <mergeCell ref="H43:I43"/>
    <mergeCell ref="B43:C43"/>
    <mergeCell ref="E44:F44"/>
    <mergeCell ref="E75:F75"/>
    <mergeCell ref="E22:F22"/>
    <mergeCell ref="B41:C41"/>
    <mergeCell ref="K69:L69"/>
    <mergeCell ref="H50:I50"/>
    <mergeCell ref="A22:A33"/>
    <mergeCell ref="H44:I44"/>
    <mergeCell ref="E19:F19"/>
    <mergeCell ref="X47:Y47"/>
    <mergeCell ref="K75:L75"/>
    <mergeCell ref="K22:L22"/>
    <mergeCell ref="X41:Y41"/>
    <mergeCell ref="B62:C67"/>
    <mergeCell ref="B50:C50"/>
    <mergeCell ref="X22:Y22"/>
    <mergeCell ref="A50:A61"/>
    <mergeCell ref="K72:L72"/>
    <mergeCell ref="H69:I69"/>
    <mergeCell ref="H75:I75"/>
    <mergeCell ref="B72:C72"/>
    <mergeCell ref="B71:C7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opLeftCell="A49" workbookViewId="0">
      <selection activeCell="D67" sqref="D67"/>
    </sheetView>
  </sheetViews>
  <sheetFormatPr defaultRowHeight="14.25"/>
  <cols>
    <col min="1" max="1" width="18" style="25" customWidth="1"/>
    <col min="2" max="2" width="10" style="26" customWidth="1"/>
    <col min="3" max="5" width="13" style="25" customWidth="1"/>
    <col min="6" max="6" width="13" style="25" bestFit="1" customWidth="1"/>
    <col min="7" max="7" width="13" style="25" customWidth="1"/>
    <col min="8" max="8" width="13" style="25" bestFit="1" customWidth="1"/>
    <col min="9" max="10" width="14" style="25" bestFit="1" customWidth="1"/>
    <col min="12" max="12" width="16.875" style="25" customWidth="1"/>
  </cols>
  <sheetData>
    <row r="1" spans="1:17">
      <c r="A1" t="s">
        <v>44</v>
      </c>
      <c r="B1" s="26" t="s">
        <v>21</v>
      </c>
      <c r="C1" s="26" t="s">
        <v>11</v>
      </c>
      <c r="D1" s="26" t="s">
        <v>45</v>
      </c>
      <c r="E1" s="26" t="s">
        <v>15</v>
      </c>
      <c r="F1" t="s">
        <v>46</v>
      </c>
      <c r="G1" t="s">
        <v>47</v>
      </c>
      <c r="H1" t="s">
        <v>48</v>
      </c>
      <c r="I1" t="s">
        <v>46</v>
      </c>
      <c r="J1" t="s">
        <v>47</v>
      </c>
    </row>
    <row r="2" spans="1:17">
      <c r="A2">
        <v>1</v>
      </c>
      <c r="B2" s="26">
        <v>3</v>
      </c>
      <c r="F2">
        <v>100</v>
      </c>
      <c r="G2">
        <f>ROUNDUP(F2/金币收益!$B$4,3)</f>
        <v>1.6E-2</v>
      </c>
      <c r="H2" t="s">
        <v>49</v>
      </c>
      <c r="M2" s="26"/>
      <c r="N2" s="26"/>
      <c r="O2" s="26"/>
      <c r="P2" s="26"/>
      <c r="Q2" s="26"/>
    </row>
    <row r="3" spans="1:17">
      <c r="A3">
        <v>2</v>
      </c>
      <c r="C3" s="26">
        <v>1</v>
      </c>
      <c r="F3">
        <f t="shared" ref="F3:F50" si="0">F2+A3*10</f>
        <v>120</v>
      </c>
      <c r="G3">
        <f>ROUNDUP(G2+F3/金币收益!$B$4,3)</f>
        <v>3.5000000000000003E-2</v>
      </c>
      <c r="H3" t="s">
        <v>49</v>
      </c>
      <c r="M3" s="26"/>
      <c r="N3" s="26"/>
      <c r="O3" s="26"/>
      <c r="P3" s="26"/>
      <c r="Q3" s="26"/>
    </row>
    <row r="4" spans="1:17">
      <c r="A4">
        <v>3</v>
      </c>
      <c r="D4" s="26">
        <v>2</v>
      </c>
      <c r="F4">
        <f t="shared" si="0"/>
        <v>150</v>
      </c>
      <c r="G4">
        <f>ROUNDUP(G3+F4/金币收益!$B$4,3)</f>
        <v>5.8000000000000003E-2</v>
      </c>
      <c r="H4" t="s">
        <v>49</v>
      </c>
      <c r="M4" s="26"/>
      <c r="N4" s="26"/>
      <c r="O4" s="26"/>
      <c r="P4" s="26"/>
      <c r="Q4" s="26"/>
    </row>
    <row r="5" spans="1:17">
      <c r="A5">
        <v>4</v>
      </c>
      <c r="B5" s="26">
        <v>4</v>
      </c>
      <c r="F5">
        <f t="shared" si="0"/>
        <v>190</v>
      </c>
      <c r="G5">
        <f>ROUNDUP(G4+F5/金币收益!$B$4,3)</f>
        <v>8.6999999999999994E-2</v>
      </c>
      <c r="H5" t="s">
        <v>49</v>
      </c>
    </row>
    <row r="6" spans="1:17">
      <c r="A6">
        <v>5</v>
      </c>
      <c r="C6" s="26">
        <v>1</v>
      </c>
      <c r="F6">
        <f t="shared" si="0"/>
        <v>240</v>
      </c>
      <c r="G6">
        <f>ROUNDUP(G5+F6/金币收益!$B$4,3)</f>
        <v>0.124</v>
      </c>
      <c r="H6" t="s">
        <v>55</v>
      </c>
      <c r="I6">
        <f>SUM(F2:F6)/2</f>
        <v>400</v>
      </c>
      <c r="J6">
        <f>ROUNDUP(G6+I6/金币收益!$B$4,3)</f>
        <v>0.185</v>
      </c>
      <c r="L6"/>
    </row>
    <row r="7" spans="1:17">
      <c r="A7">
        <v>6</v>
      </c>
      <c r="E7" s="26">
        <v>7</v>
      </c>
      <c r="F7">
        <f t="shared" si="0"/>
        <v>300</v>
      </c>
      <c r="G7">
        <f>ROUNDUP(G6+F7/金币收益!$B$4,3)</f>
        <v>0.17</v>
      </c>
      <c r="H7" t="s">
        <v>49</v>
      </c>
      <c r="L7"/>
    </row>
    <row r="8" spans="1:17">
      <c r="A8">
        <v>7</v>
      </c>
      <c r="B8" s="26">
        <v>4</v>
      </c>
      <c r="F8">
        <f t="shared" si="0"/>
        <v>370</v>
      </c>
      <c r="G8">
        <f>ROUNDUP(G7+F8/金币收益!$B$4,3)</f>
        <v>0.22600000000000001</v>
      </c>
      <c r="H8" t="s">
        <v>49</v>
      </c>
      <c r="L8"/>
    </row>
    <row r="9" spans="1:17">
      <c r="A9">
        <v>8</v>
      </c>
      <c r="C9" s="26">
        <v>1</v>
      </c>
      <c r="F9">
        <f t="shared" si="0"/>
        <v>450</v>
      </c>
      <c r="G9">
        <f>ROUNDUP(G8+F9/金币收益!$B$4,3)</f>
        <v>0.29399999999999998</v>
      </c>
      <c r="H9" t="s">
        <v>49</v>
      </c>
      <c r="L9"/>
    </row>
    <row r="10" spans="1:17">
      <c r="A10">
        <v>9</v>
      </c>
      <c r="D10" s="26">
        <v>3</v>
      </c>
      <c r="F10">
        <f t="shared" si="0"/>
        <v>540</v>
      </c>
      <c r="G10">
        <f>ROUNDUP(G9+F10/金币收益!$B$4,3)</f>
        <v>0.376</v>
      </c>
      <c r="H10" t="s">
        <v>49</v>
      </c>
      <c r="L10"/>
    </row>
    <row r="11" spans="1:17">
      <c r="A11">
        <v>10</v>
      </c>
      <c r="B11" s="26">
        <v>4</v>
      </c>
      <c r="F11">
        <f t="shared" si="0"/>
        <v>640</v>
      </c>
      <c r="G11">
        <f>ROUNDUP(G10+F11/金币收益!$B$4,3)</f>
        <v>0.47299999999999998</v>
      </c>
      <c r="H11" t="s">
        <v>56</v>
      </c>
      <c r="I11">
        <f>SUM(F7:F11)/2</f>
        <v>1150</v>
      </c>
      <c r="J11">
        <f>ROUNDUP(G11+I11/金币收益!$B$4,3)</f>
        <v>0.64700000000000002</v>
      </c>
    </row>
    <row r="12" spans="1:17">
      <c r="A12">
        <v>11</v>
      </c>
      <c r="C12" s="26">
        <v>1</v>
      </c>
      <c r="F12">
        <f t="shared" si="0"/>
        <v>750</v>
      </c>
      <c r="G12">
        <f>ROUNDUP(G11+F12/金币收益!$B$4,3)</f>
        <v>0.58699999999999997</v>
      </c>
      <c r="H12" t="s">
        <v>49</v>
      </c>
    </row>
    <row r="13" spans="1:17">
      <c r="A13">
        <v>12</v>
      </c>
      <c r="D13" s="26">
        <v>3</v>
      </c>
      <c r="F13">
        <f t="shared" si="0"/>
        <v>870</v>
      </c>
      <c r="G13">
        <f>ROUNDUP(G12+F13/金币收益!$B$4,3)</f>
        <v>0.71899999999999997</v>
      </c>
      <c r="H13" t="s">
        <v>49</v>
      </c>
    </row>
    <row r="14" spans="1:17">
      <c r="A14">
        <v>13</v>
      </c>
      <c r="B14" s="26">
        <v>5</v>
      </c>
      <c r="F14">
        <f t="shared" si="0"/>
        <v>1000</v>
      </c>
      <c r="G14">
        <f>ROUNDUP(G13+F14/金币收益!$B$4,3)</f>
        <v>0.87</v>
      </c>
      <c r="H14" t="s">
        <v>49</v>
      </c>
    </row>
    <row r="15" spans="1:17">
      <c r="A15">
        <v>14</v>
      </c>
      <c r="C15" s="26">
        <v>1</v>
      </c>
      <c r="F15">
        <f t="shared" si="0"/>
        <v>1140</v>
      </c>
      <c r="G15">
        <f>ROUNDUP(G14+F15/金币收益!$B$4,3)</f>
        <v>1.0429999999999999</v>
      </c>
      <c r="H15" t="s">
        <v>49</v>
      </c>
    </row>
    <row r="16" spans="1:17">
      <c r="A16">
        <v>15</v>
      </c>
      <c r="E16" s="26">
        <v>8</v>
      </c>
      <c r="F16">
        <f t="shared" si="0"/>
        <v>1290</v>
      </c>
      <c r="G16">
        <f>ROUNDUP(G15+F16/金币收益!$B$4,3)</f>
        <v>1.238</v>
      </c>
      <c r="H16" t="s">
        <v>57</v>
      </c>
      <c r="I16">
        <f>SUM(F12:F16)/2</f>
        <v>2525</v>
      </c>
      <c r="J16">
        <f>ROUNDUP(G16+I16/金币收益!$B$4,3)</f>
        <v>1.6199999999999999</v>
      </c>
    </row>
    <row r="17" spans="1:10">
      <c r="A17">
        <v>16</v>
      </c>
      <c r="B17" s="26">
        <v>5</v>
      </c>
      <c r="F17">
        <f t="shared" si="0"/>
        <v>1450</v>
      </c>
      <c r="G17">
        <f>ROUNDUP(G16+F17/金币收益!$B$4,3)</f>
        <v>1.4569999999999999</v>
      </c>
      <c r="H17" t="s">
        <v>49</v>
      </c>
    </row>
    <row r="18" spans="1:10">
      <c r="A18">
        <v>17</v>
      </c>
      <c r="C18" s="26">
        <v>1</v>
      </c>
      <c r="F18">
        <f t="shared" si="0"/>
        <v>1620</v>
      </c>
      <c r="G18">
        <f>ROUNDUP(G17+F18/金币收益!$B$4,3)</f>
        <v>1.702</v>
      </c>
      <c r="H18" t="s">
        <v>49</v>
      </c>
    </row>
    <row r="19" spans="1:10">
      <c r="A19">
        <v>18</v>
      </c>
      <c r="D19" s="26">
        <v>4</v>
      </c>
      <c r="F19">
        <f t="shared" si="0"/>
        <v>1800</v>
      </c>
      <c r="G19">
        <f>ROUNDUP(G18+F19/金币收益!$B$4,3)</f>
        <v>1.974</v>
      </c>
      <c r="H19" t="s">
        <v>49</v>
      </c>
    </row>
    <row r="20" spans="1:10">
      <c r="A20">
        <v>19</v>
      </c>
      <c r="B20" s="26">
        <v>5</v>
      </c>
      <c r="F20">
        <f t="shared" si="0"/>
        <v>1990</v>
      </c>
      <c r="G20">
        <f>ROUNDUP(G19+F20/金币收益!$B$4,3)</f>
        <v>2.2749999999999999</v>
      </c>
      <c r="H20" t="s">
        <v>49</v>
      </c>
    </row>
    <row r="21" spans="1:10">
      <c r="A21">
        <v>20</v>
      </c>
      <c r="C21" s="26">
        <v>1</v>
      </c>
      <c r="F21">
        <f t="shared" si="0"/>
        <v>2190</v>
      </c>
      <c r="G21">
        <f>ROUNDUP(G20+F21/金币收益!$B$4,3)</f>
        <v>2.6059999999999999</v>
      </c>
      <c r="H21" t="s">
        <v>58</v>
      </c>
      <c r="I21">
        <f>SUM(F17:F21)/2</f>
        <v>4525</v>
      </c>
      <c r="J21">
        <f>ROUNDUP(G21+I21/金币收益!$B$4,3)</f>
        <v>3.29</v>
      </c>
    </row>
    <row r="22" spans="1:10">
      <c r="A22">
        <v>21</v>
      </c>
      <c r="F22">
        <f t="shared" si="0"/>
        <v>2400</v>
      </c>
      <c r="G22">
        <f>ROUNDUP(G21+F22/金币收益!$B$4,3)</f>
        <v>2.9689999999999999</v>
      </c>
      <c r="H22" t="s">
        <v>49</v>
      </c>
    </row>
    <row r="23" spans="1:10">
      <c r="A23">
        <v>22</v>
      </c>
      <c r="B23" s="26">
        <v>10</v>
      </c>
      <c r="F23">
        <f t="shared" si="0"/>
        <v>2620</v>
      </c>
      <c r="G23">
        <f>ROUNDUP(G22+F23/金币收益!$B$4,3)</f>
        <v>3.3649999999999998</v>
      </c>
      <c r="H23" t="s">
        <v>49</v>
      </c>
    </row>
    <row r="24" spans="1:10">
      <c r="A24">
        <v>23</v>
      </c>
      <c r="C24" s="26">
        <v>2</v>
      </c>
      <c r="F24">
        <f t="shared" si="0"/>
        <v>2850</v>
      </c>
      <c r="G24">
        <f>ROUNDUP(G23+F24/金币收益!$B$4,3)</f>
        <v>3.7959999999999998</v>
      </c>
      <c r="H24" t="s">
        <v>49</v>
      </c>
    </row>
    <row r="25" spans="1:10">
      <c r="A25">
        <v>24</v>
      </c>
      <c r="D25" s="26">
        <v>4</v>
      </c>
      <c r="F25">
        <f t="shared" si="0"/>
        <v>3090</v>
      </c>
      <c r="G25">
        <f>ROUNDUP(G24+F25/金币收益!$B$4,3)</f>
        <v>4.2629999999999999</v>
      </c>
      <c r="H25" t="s">
        <v>49</v>
      </c>
    </row>
    <row r="26" spans="1:10">
      <c r="A26">
        <v>25</v>
      </c>
      <c r="B26" s="26">
        <v>10</v>
      </c>
      <c r="F26">
        <f t="shared" si="0"/>
        <v>3340</v>
      </c>
      <c r="G26">
        <f>ROUNDUP(G25+F26/金币收益!$B$4,3)</f>
        <v>4.7680000000000007</v>
      </c>
      <c r="H26" t="s">
        <v>56</v>
      </c>
      <c r="I26">
        <f>SUM(F22:F26)/2</f>
        <v>7150</v>
      </c>
      <c r="J26">
        <f>ROUNDUP(G26+I26/金币收益!$B$4,3)</f>
        <v>5.8480000000000008</v>
      </c>
    </row>
    <row r="27" spans="1:10">
      <c r="A27">
        <v>26</v>
      </c>
      <c r="E27" s="26">
        <v>5</v>
      </c>
      <c r="F27">
        <f t="shared" si="0"/>
        <v>3600</v>
      </c>
      <c r="G27">
        <f>ROUNDUP(G26+F27/金币收益!$B$4,3)</f>
        <v>5.3120000000000003</v>
      </c>
      <c r="H27" t="s">
        <v>49</v>
      </c>
    </row>
    <row r="28" spans="1:10">
      <c r="A28">
        <v>27</v>
      </c>
      <c r="C28" s="26">
        <v>2</v>
      </c>
      <c r="F28">
        <f t="shared" si="0"/>
        <v>3870</v>
      </c>
      <c r="G28">
        <f>ROUNDUP(G27+F28/金币收益!$B$4,3)</f>
        <v>5.8970000000000002</v>
      </c>
      <c r="H28" t="s">
        <v>49</v>
      </c>
    </row>
    <row r="29" spans="1:10">
      <c r="A29">
        <v>28</v>
      </c>
      <c r="B29" s="26">
        <v>10</v>
      </c>
      <c r="F29">
        <f t="shared" si="0"/>
        <v>4150</v>
      </c>
      <c r="G29">
        <f>ROUNDUP(G28+F29/金币收益!$B$4,3)</f>
        <v>6.524</v>
      </c>
      <c r="H29" t="s">
        <v>49</v>
      </c>
    </row>
    <row r="30" spans="1:10">
      <c r="A30">
        <v>29</v>
      </c>
      <c r="D30" s="26">
        <v>5</v>
      </c>
      <c r="F30">
        <f t="shared" si="0"/>
        <v>4440</v>
      </c>
      <c r="G30">
        <f>ROUNDUP(G29+F30/金币收益!$B$4,3)</f>
        <v>7.1950000000000003</v>
      </c>
      <c r="H30" t="s">
        <v>49</v>
      </c>
    </row>
    <row r="31" spans="1:10">
      <c r="A31">
        <v>30</v>
      </c>
      <c r="C31" s="26">
        <v>2</v>
      </c>
      <c r="F31">
        <f t="shared" si="0"/>
        <v>4740</v>
      </c>
      <c r="G31">
        <f>ROUNDUP(G30+F31/金币收益!$B$4,3)</f>
        <v>7.9110000000000005</v>
      </c>
      <c r="H31" t="s">
        <v>59</v>
      </c>
      <c r="I31">
        <f>SUM(F27:F31)/2</f>
        <v>10400</v>
      </c>
      <c r="J31">
        <f>ROUNDUP(G31+I31/金币收益!$B$4,3)</f>
        <v>9.4819999999999993</v>
      </c>
    </row>
    <row r="32" spans="1:10">
      <c r="A32">
        <v>31</v>
      </c>
      <c r="B32" s="26">
        <v>10</v>
      </c>
      <c r="F32">
        <f t="shared" si="0"/>
        <v>5050</v>
      </c>
      <c r="G32">
        <f>ROUNDUP(G31+F32/金币收益!$B$4,3)</f>
        <v>8.6739999999999995</v>
      </c>
      <c r="H32" t="s">
        <v>49</v>
      </c>
    </row>
    <row r="33" spans="1:10">
      <c r="A33">
        <v>32</v>
      </c>
      <c r="D33" s="26">
        <v>5</v>
      </c>
      <c r="F33">
        <f t="shared" si="0"/>
        <v>5370</v>
      </c>
      <c r="G33">
        <f>ROUNDUP(G32+F33/金币收益!$B$4,3)</f>
        <v>9.4849999999999994</v>
      </c>
      <c r="H33" t="s">
        <v>49</v>
      </c>
    </row>
    <row r="34" spans="1:10">
      <c r="A34">
        <v>33</v>
      </c>
      <c r="C34" s="26">
        <v>2</v>
      </c>
      <c r="F34">
        <f t="shared" si="0"/>
        <v>5700</v>
      </c>
      <c r="G34">
        <f>ROUNDUP(G33+F34/金币收益!$B$4,3)</f>
        <v>10.346</v>
      </c>
      <c r="H34" t="s">
        <v>49</v>
      </c>
    </row>
    <row r="35" spans="1:10">
      <c r="A35">
        <v>34</v>
      </c>
      <c r="B35" s="26">
        <v>10</v>
      </c>
      <c r="F35">
        <f t="shared" si="0"/>
        <v>6040</v>
      </c>
      <c r="G35">
        <f>ROUNDUP(G34+F35/金币收益!$B$4,3)</f>
        <v>11.257999999999999</v>
      </c>
      <c r="H35" t="s">
        <v>49</v>
      </c>
    </row>
    <row r="36" spans="1:10">
      <c r="A36">
        <v>35</v>
      </c>
      <c r="E36" s="26">
        <v>5</v>
      </c>
      <c r="F36">
        <f t="shared" si="0"/>
        <v>6390</v>
      </c>
      <c r="G36">
        <f>ROUNDUP(G35+F36/金币收益!$B$4,3)</f>
        <v>12.222999999999999</v>
      </c>
      <c r="H36" t="s">
        <v>60</v>
      </c>
      <c r="I36">
        <f>SUM(F32:F36)/2</f>
        <v>14275</v>
      </c>
      <c r="J36">
        <f>ROUNDUP(G36+I36/金币收益!$B$4,3)</f>
        <v>14.379</v>
      </c>
    </row>
    <row r="37" spans="1:10">
      <c r="A37">
        <v>36</v>
      </c>
      <c r="C37" s="26">
        <v>2</v>
      </c>
      <c r="F37">
        <f t="shared" si="0"/>
        <v>6750</v>
      </c>
      <c r="G37">
        <f>ROUNDUP(G36+F37/金币收益!$B$4,3)</f>
        <v>13.243</v>
      </c>
      <c r="H37" t="s">
        <v>49</v>
      </c>
    </row>
    <row r="38" spans="1:10">
      <c r="A38">
        <v>37</v>
      </c>
      <c r="B38" s="26">
        <v>10</v>
      </c>
      <c r="F38">
        <f t="shared" si="0"/>
        <v>7120</v>
      </c>
      <c r="G38">
        <f>ROUNDUP(G37+F38/金币收益!$B$4,3)</f>
        <v>14.318</v>
      </c>
      <c r="H38" t="s">
        <v>49</v>
      </c>
    </row>
    <row r="39" spans="1:10">
      <c r="A39">
        <v>38</v>
      </c>
      <c r="D39" s="26">
        <v>5</v>
      </c>
      <c r="F39">
        <f t="shared" si="0"/>
        <v>7500</v>
      </c>
      <c r="G39">
        <f>ROUNDUP(G38+F39/金币收益!$B$4,3)</f>
        <v>15.450999999999999</v>
      </c>
      <c r="H39" t="s">
        <v>49</v>
      </c>
    </row>
    <row r="40" spans="1:10">
      <c r="A40">
        <v>39</v>
      </c>
      <c r="C40" s="26">
        <v>2</v>
      </c>
      <c r="F40">
        <f t="shared" si="0"/>
        <v>7890</v>
      </c>
      <c r="G40">
        <f>ROUNDUP(G39+F40/金币收益!$B$4,3)</f>
        <v>16.643000000000001</v>
      </c>
      <c r="H40" t="s">
        <v>49</v>
      </c>
    </row>
    <row r="41" spans="1:10">
      <c r="A41">
        <v>40</v>
      </c>
      <c r="B41" s="26">
        <v>12</v>
      </c>
      <c r="F41">
        <f t="shared" si="0"/>
        <v>8290</v>
      </c>
      <c r="G41">
        <f>ROUNDUP(G40+F41/金币收益!$B$4,3)</f>
        <v>17.895</v>
      </c>
      <c r="H41" t="s">
        <v>61</v>
      </c>
      <c r="I41">
        <f>SUM(F37:F41)/2</f>
        <v>18775</v>
      </c>
      <c r="J41">
        <f>ROUNDUP(G41+I41/金币收益!$B$4,3)</f>
        <v>20.73</v>
      </c>
    </row>
    <row r="42" spans="1:10">
      <c r="A42">
        <v>41</v>
      </c>
      <c r="E42" s="26">
        <v>5</v>
      </c>
      <c r="F42">
        <f t="shared" si="0"/>
        <v>8700</v>
      </c>
      <c r="G42">
        <f>ROUNDUP(G41+F42/金币收益!$B$4,3)</f>
        <v>19.209</v>
      </c>
      <c r="H42" t="s">
        <v>49</v>
      </c>
    </row>
    <row r="43" spans="1:10">
      <c r="A43">
        <v>42</v>
      </c>
      <c r="D43" s="26">
        <v>6</v>
      </c>
      <c r="F43">
        <f t="shared" si="0"/>
        <v>9120</v>
      </c>
      <c r="G43">
        <f>ROUNDUP(G42+F43/金币收益!$B$4,3)</f>
        <v>20.586000000000002</v>
      </c>
      <c r="H43" t="s">
        <v>49</v>
      </c>
    </row>
    <row r="44" spans="1:10">
      <c r="A44">
        <v>43</v>
      </c>
      <c r="B44" s="26">
        <v>12</v>
      </c>
      <c r="F44">
        <f t="shared" si="0"/>
        <v>9550</v>
      </c>
      <c r="G44">
        <f>ROUNDUP(G43+F44/金币收益!$B$4,3)</f>
        <v>22.028000000000002</v>
      </c>
      <c r="H44" t="s">
        <v>49</v>
      </c>
    </row>
    <row r="45" spans="1:10">
      <c r="A45">
        <v>44</v>
      </c>
      <c r="D45" s="26">
        <v>8</v>
      </c>
      <c r="F45">
        <f t="shared" si="0"/>
        <v>9990</v>
      </c>
      <c r="G45">
        <f>ROUNDUP(G44+F45/金币收益!$B$4,3)</f>
        <v>23.537000000000003</v>
      </c>
      <c r="H45" t="s">
        <v>49</v>
      </c>
    </row>
    <row r="46" spans="1:10">
      <c r="A46">
        <v>45</v>
      </c>
      <c r="C46" s="26">
        <v>3</v>
      </c>
      <c r="F46">
        <f t="shared" si="0"/>
        <v>10440</v>
      </c>
      <c r="G46">
        <f>ROUNDUP(G45+F46/金币收益!$B$4,3)</f>
        <v>25.114000000000001</v>
      </c>
      <c r="H46" t="s">
        <v>62</v>
      </c>
      <c r="I46">
        <f>SUM(F42:F46)/2</f>
        <v>23900</v>
      </c>
      <c r="J46">
        <f>ROUNDUP(G46+I46/金币收益!$B$4,3)</f>
        <v>28.723000000000003</v>
      </c>
    </row>
    <row r="47" spans="1:10">
      <c r="A47">
        <v>46</v>
      </c>
      <c r="B47" s="26">
        <v>12</v>
      </c>
      <c r="F47">
        <f t="shared" si="0"/>
        <v>10900</v>
      </c>
      <c r="G47">
        <f>ROUNDUP(G46+F47/金币收益!$B$4,3)</f>
        <v>26.76</v>
      </c>
      <c r="H47" t="s">
        <v>49</v>
      </c>
    </row>
    <row r="48" spans="1:10">
      <c r="A48">
        <v>47</v>
      </c>
      <c r="D48" s="26">
        <v>10</v>
      </c>
      <c r="F48">
        <f t="shared" si="0"/>
        <v>11370</v>
      </c>
      <c r="G48">
        <f>ROUNDUP(G47+F48/金币收益!$B$4,3)</f>
        <v>28.477</v>
      </c>
      <c r="H48" t="s">
        <v>49</v>
      </c>
    </row>
    <row r="49" spans="1:10">
      <c r="A49">
        <v>48</v>
      </c>
      <c r="C49" s="26">
        <v>3</v>
      </c>
      <c r="F49">
        <f t="shared" si="0"/>
        <v>11850</v>
      </c>
      <c r="G49">
        <f>ROUNDUP(G48+F49/金币收益!$B$4,3)</f>
        <v>30.266000000000002</v>
      </c>
      <c r="H49" t="s">
        <v>49</v>
      </c>
    </row>
    <row r="50" spans="1:10">
      <c r="A50">
        <v>49</v>
      </c>
      <c r="B50" s="26">
        <v>13</v>
      </c>
      <c r="F50">
        <f t="shared" si="0"/>
        <v>12340</v>
      </c>
      <c r="G50">
        <f>ROUNDUP(G49+F50/金币收益!$B$4,3)</f>
        <v>32.128999999999998</v>
      </c>
      <c r="H50" t="s">
        <v>49</v>
      </c>
    </row>
    <row r="51" spans="1:10">
      <c r="A51">
        <v>50</v>
      </c>
      <c r="B51" s="26" t="s">
        <v>63</v>
      </c>
      <c r="H51" t="s">
        <v>64</v>
      </c>
      <c r="I51">
        <f>SUM(F47:F51)/2</f>
        <v>23230</v>
      </c>
      <c r="J51">
        <f>ROUNDUP(G50+I51/金币收益!$B$4,3)</f>
        <v>35.635999999999996</v>
      </c>
    </row>
    <row r="53" spans="1:10" ht="30" customHeight="1">
      <c r="A53" s="51" t="s">
        <v>65</v>
      </c>
      <c r="B53" s="52"/>
      <c r="C53" s="42"/>
      <c r="D53" s="42"/>
      <c r="E53" s="42"/>
      <c r="F53" s="42"/>
      <c r="G53" s="42"/>
      <c r="H53" s="42"/>
      <c r="I53" s="42"/>
    </row>
    <row r="54" spans="1:10" ht="8.1" customHeight="1"/>
    <row r="55" spans="1:10">
      <c r="A55" s="54" t="s">
        <v>66</v>
      </c>
      <c r="B55" s="52"/>
      <c r="C55" s="42"/>
      <c r="D55" s="42"/>
      <c r="E55" s="42"/>
      <c r="F55" s="42"/>
      <c r="G55" s="42"/>
      <c r="H55" s="42"/>
      <c r="I55" s="42"/>
    </row>
    <row r="56" spans="1:10" ht="16.5" customHeight="1">
      <c r="A56" s="9" t="s">
        <v>67</v>
      </c>
      <c r="B56" s="9" t="s">
        <v>50</v>
      </c>
      <c r="C56" s="9" t="s">
        <v>51</v>
      </c>
      <c r="D56" s="9" t="s">
        <v>52</v>
      </c>
      <c r="E56" s="9" t="s">
        <v>53</v>
      </c>
      <c r="F56" s="9" t="s">
        <v>54</v>
      </c>
    </row>
    <row r="57" spans="1:10" ht="16.5" customHeight="1">
      <c r="A57" s="10" t="s">
        <v>21</v>
      </c>
      <c r="B57" s="18">
        <v>14</v>
      </c>
      <c r="C57" s="19">
        <v>30</v>
      </c>
      <c r="D57" s="20">
        <v>60</v>
      </c>
      <c r="E57" s="21">
        <v>90</v>
      </c>
      <c r="F57" s="22">
        <v>139</v>
      </c>
    </row>
    <row r="58" spans="1:10" ht="16.5" customHeight="1">
      <c r="A58" s="10" t="s">
        <v>68</v>
      </c>
      <c r="B58" s="18">
        <v>3</v>
      </c>
      <c r="C58" s="19">
        <v>7</v>
      </c>
      <c r="D58" s="20">
        <v>10</v>
      </c>
      <c r="E58" s="21">
        <v>15</v>
      </c>
      <c r="F58" s="22">
        <v>25</v>
      </c>
    </row>
    <row r="59" spans="1:10" ht="16.5" customHeight="1">
      <c r="A59" s="10" t="s">
        <v>69</v>
      </c>
      <c r="B59" s="18">
        <v>5</v>
      </c>
      <c r="C59" s="19">
        <v>18</v>
      </c>
      <c r="D59" s="20">
        <v>26</v>
      </c>
      <c r="E59" s="21">
        <v>40</v>
      </c>
      <c r="F59" s="22">
        <v>55</v>
      </c>
    </row>
    <row r="60" spans="1:10" ht="16.5" customHeight="1">
      <c r="A60" s="10" t="s">
        <v>70</v>
      </c>
      <c r="B60" s="18">
        <v>7</v>
      </c>
      <c r="C60" s="19">
        <v>15</v>
      </c>
      <c r="D60" s="20">
        <v>20</v>
      </c>
      <c r="E60" s="21">
        <v>25</v>
      </c>
      <c r="F60" s="22">
        <v>30</v>
      </c>
    </row>
    <row r="61" spans="1:10" ht="16.5" customHeight="1">
      <c r="A61" s="10" t="s">
        <v>38</v>
      </c>
      <c r="B61" s="18">
        <v>0</v>
      </c>
      <c r="C61" s="19">
        <v>0</v>
      </c>
      <c r="D61" s="20">
        <v>1</v>
      </c>
      <c r="E61" s="21">
        <v>2</v>
      </c>
      <c r="F61" s="22">
        <v>2</v>
      </c>
    </row>
    <row r="62" spans="1:10" ht="8.1" customHeight="1"/>
    <row r="63" spans="1:10">
      <c r="A63" s="54" t="s">
        <v>71</v>
      </c>
      <c r="B63" s="52"/>
      <c r="C63" s="42"/>
      <c r="D63" s="42"/>
      <c r="E63" s="42"/>
      <c r="F63" s="42"/>
      <c r="G63" s="42"/>
      <c r="H63" s="42"/>
      <c r="I63" s="42"/>
    </row>
    <row r="64" spans="1:10" ht="27.95" customHeight="1">
      <c r="A64" s="9" t="s">
        <v>72</v>
      </c>
      <c r="B64" s="9" t="s">
        <v>73</v>
      </c>
      <c r="C64" s="9" t="s">
        <v>74</v>
      </c>
      <c r="D64" s="9" t="s">
        <v>75</v>
      </c>
      <c r="E64" s="9" t="s">
        <v>76</v>
      </c>
      <c r="F64" s="9" t="s">
        <v>77</v>
      </c>
      <c r="G64" s="9" t="s">
        <v>78</v>
      </c>
      <c r="H64" s="9" t="s">
        <v>79</v>
      </c>
      <c r="I64" s="9" t="s">
        <v>80</v>
      </c>
    </row>
    <row r="65" spans="1:9" ht="16.5" customHeight="1">
      <c r="A65" s="55" t="s">
        <v>1</v>
      </c>
      <c r="B65" s="11" t="s">
        <v>0</v>
      </c>
      <c r="C65" s="12">
        <f>7*0.5*(1+0.15*1.4)*1*6*1</f>
        <v>25.409999999999997</v>
      </c>
      <c r="D65" s="13">
        <f>(7+$B$57)*0.5*(1+(0.15+$B$58/100)*(1.4+$B$59/100))*(1+$B$60/100)*6*1</f>
        <v>85.004010000000008</v>
      </c>
      <c r="E65" s="14">
        <f>(7+$C$57)*0.5*(1+(0.15+$C$58/100)*(1.4+$C$59/100))*(1+$C$60/100)*6*1</f>
        <v>172.02113999999997</v>
      </c>
      <c r="F65" s="15">
        <f>(7+$D$57)*0.5*(1+(0.15+$D$58/100)*(1.4+$D$59/100))*(1+$D$60/100)*6*1</f>
        <v>341.298</v>
      </c>
      <c r="G65" s="16">
        <f>(7+$E$57)*0.5*(1+(0.15+$E$58/100)*(1.4+$E$59/100))*(1+$E$60/100)*6*1</f>
        <v>560.17499999999995</v>
      </c>
      <c r="H65" s="17">
        <f>(7+$F$57)*0.5*(1+(0.15+$F$58/100)*(1.4+$F$59/100))*(1+$F$60/100)*6*1</f>
        <v>1013.5319999999999</v>
      </c>
      <c r="I65" s="29">
        <f t="shared" ref="I65:I84" si="1">H65/C65</f>
        <v>39.887131050767415</v>
      </c>
    </row>
    <row r="66" spans="1:9" ht="16.5" customHeight="1">
      <c r="A66" s="56"/>
      <c r="B66" s="11" t="s">
        <v>5</v>
      </c>
      <c r="C66" s="12">
        <f>9.8*0.5*(1+0.2*1.7)*1*6*1</f>
        <v>39.396000000000001</v>
      </c>
      <c r="D66" s="13">
        <f>(9.8+$B$57)*0.5*(1+(0.2+$B$58/100)*(1.7+$B$59/100))*(1+$B$60/100)*6*1</f>
        <v>107.148195</v>
      </c>
      <c r="E66" s="14">
        <f>(9.8+$C$57)*0.5*(1+(0.2+$C$58/100)*(1.7+$C$59/100))*(1+$C$60/100)*6*1</f>
        <v>207.00855599999997</v>
      </c>
      <c r="F66" s="15">
        <f>(9.8+$D$57)*0.5*(1+(0.2+$D$58/100)*(1.7+$D$59/100))*(1+$D$60/100)*6*1</f>
        <v>399.03263999999996</v>
      </c>
      <c r="G66" s="16">
        <f>(9.8+$E$57)*0.5*(1+(0.2+$E$58/100)*(1.7+$E$59/100))*(1+$E$60/100)*6*1</f>
        <v>649.32375000000002</v>
      </c>
      <c r="H66" s="17">
        <f>(9.8+$F$57)*0.5*(1+(0.2+$F$58/100)*(1.7+$F$59/100))*(1+$F$60/100)*6*1</f>
        <v>1167.8940000000002</v>
      </c>
      <c r="I66" s="29">
        <f t="shared" si="1"/>
        <v>29.644989339019194</v>
      </c>
    </row>
    <row r="67" spans="1:9" ht="16.5" customHeight="1">
      <c r="A67" s="56"/>
      <c r="B67" s="11" t="s">
        <v>26</v>
      </c>
      <c r="C67" s="12">
        <f>(9.8*0.5*(1+0.2*1.7)*1*6*1+9.8*1.6*(1+0.2*1.7)*1*0.2*3)*1.15</f>
        <v>59.803128000000001</v>
      </c>
      <c r="D67" s="13">
        <f>((9.8+$B$57)*0.5*(1+(0.2+$B$58/100)*(1.7+$B$59/100))*(1+$B$60/100)*6*1+(9.8+$B$57)*1.6*(1+(0.2+$B$58/100)*(1.7+$B$59/100))*(1+$B$60/100)*0.2*3)*1.15</f>
        <v>162.65096001000001</v>
      </c>
      <c r="E67" s="14">
        <f>((9.8+$C$57)*0.5*(1+(0.2+$C$58/100)*(1.7+$C$59/100))*(1+$C$60/100)*6*1+(9.8+$C$57)*1.6*(1+(0.2+$C$58/100)*(1.7+$C$59/100))*(1+$C$60/100)*0.2*3)*1.15</f>
        <v>314.23898800799992</v>
      </c>
      <c r="F67" s="15">
        <f>((9.8+$D$57)*0.5*(1+(0.2+$D$58/100)*(1.7+$D$59/100))*(1+$D$60/100)*6*1+(9.8+$D$57)*1.6*(1+(0.2+$D$58/100)*(1.7+$D$59/100))*(1+$D$60/100)*0.2*3)*1.15</f>
        <v>605.73154751999982</v>
      </c>
      <c r="G67" s="16">
        <f>((9.8+$E$57)*0.5*(1+(0.2+$E$58/100)*(1.7+$E$59/100))*(1+$E$60/100)*6*1+(9.8+$E$57)*1.6*(1+(0.2+$E$58/100)*(1.7+$E$59/100))*(1+$E$60/100)*0.2*3)*1.15</f>
        <v>985.67345249999994</v>
      </c>
      <c r="H67" s="17">
        <f>((9.8+$F$57)*0.5*(1+(0.2+$F$58/100)*(1.7+$F$59/100))*(1+$F$60/100)*6*1+(9.8+$F$57)*1.6*(1+(0.2+$F$58/100)*(1.7+$F$59/100))*(1+$F$60/100)*0.2*3)*1.15</f>
        <v>1772.8630920000003</v>
      </c>
      <c r="I67" s="29">
        <f t="shared" si="1"/>
        <v>29.644989339019194</v>
      </c>
    </row>
    <row r="68" spans="1:9" ht="16.5" customHeight="1">
      <c r="A68" s="56"/>
      <c r="B68" s="11" t="s">
        <v>27</v>
      </c>
      <c r="C68" s="12">
        <f>(15.4*0.5*(1+0.3*1.93)*6*1.05+15.4*1.6*(1+0.3*1.93)*1.05*0.2*3)*1.15</f>
        <v>116.27468622000001</v>
      </c>
      <c r="D68" s="13">
        <f>((15.4+$B$57)*0.5*(1+(0.3+$B$58/100)*(1.93+$B$59/100))*6*(1.05+$B$60/100)+(15.4+$B$57)*1.6*(1+(0.3+$B$58/100)*(1.93+$B$59/100))*(1.05+$B$60/100)*0.2*3)*1.15</f>
        <v>247.93412878079999</v>
      </c>
      <c r="E68" s="14">
        <f>((15.4+$C$57)*0.5*(1+(0.3+$C$58/100)*(1.93+$C$59/100))*6*(1.05+$C$60/100)+(15.4+$C$57)*1.6*(1+(0.3+$C$58/100)*(1.93+$C$59/100))*(1.05+$C$60/100)*0.2*3)*1.15</f>
        <v>441.79508894399987</v>
      </c>
      <c r="F68" s="15">
        <f>((15.4+$D$57)*0.5*(1+(0.3+$D$58/100)*(1.93+$D$59/100))*6*(1.05+$D$60/100)+(15.4+$D$57)*1.6*(1+(0.3+$D$58/100)*(1.93+$D$59/100))*(1.05+$D$60/100)*0.2*3)*1.15</f>
        <v>805.20640199999991</v>
      </c>
      <c r="G68" s="16">
        <f>((15.4+$E$57)*0.5*(1+(0.3+$E$58/100)*(1.93+$E$59/100))*6*(1.05+$E$60/100)+(15.4+$E$57)*1.6*(1+(0.3+$E$58/100)*(1.93+$E$59/100))*(1.05+$E$60/100)*0.2*3)*1.15</f>
        <v>1278.2416303799998</v>
      </c>
      <c r="H68" s="17">
        <f>((15.4+$F$57)*0.5*(1+(0.3+$F$58/100)*(1.93+$F$59/100))*6*(1.05+$F$60/100)+(15.4+$F$57)*1.6*(1+(0.3+$F$58/100)*(1.93+$F$59/100))*(1.05+$F$60/100)*0.2*3)*1.15</f>
        <v>2243.9933366400001</v>
      </c>
      <c r="I68" s="29">
        <f t="shared" si="1"/>
        <v>19.299070241257883</v>
      </c>
    </row>
    <row r="69" spans="1:9" ht="16.5" customHeight="1">
      <c r="A69" s="57"/>
      <c r="B69" s="11" t="s">
        <v>37</v>
      </c>
      <c r="C69" s="12">
        <f>(15.4*0.5*(1+0.3*1.93)*6*1.05+15.4*1.6*(1+0.3*1.93)*1.05*0.5*3)*1.15</f>
        <v>158.55639030000003</v>
      </c>
      <c r="D69" s="13">
        <f>((15.4+$B$57)*0.5*(1+(0.3+$B$58/100)*(1.93+$B$59/100))*6*(1.05+$B$60/100)+(15.4+$B$57)*1.6*(1+(0.3+$B$58/100)*(1.93+$B$59/100))*(1.05+$B$60/100)*0.5*3)*1.15</f>
        <v>338.09199379199998</v>
      </c>
      <c r="E69" s="14">
        <f>((15.4+$C$57)*0.5*(1+(0.3+$C$58/100)*(1.93+$C$59/100))*6*(1.05+$C$60/100)+(15.4+$C$57)*1.6*(1+(0.3+$C$58/100)*(1.93+$C$59/100))*(1.05+$C$60/100)*0.5*3)*1.15</f>
        <v>602.44784855999978</v>
      </c>
      <c r="F69" s="15">
        <f>((15.4+$D$57)*0.5*(1+(0.3+$D$58/100)*(1.93+$D$59/100))*6*(1.05+$D$60/100)+(15.4+$D$57)*1.6*(1+(0.3+$D$58/100)*(1.93+$D$59/100))*(1.05+$D$60/100)*0.5*3)*1.15</f>
        <v>1098.0087299999998</v>
      </c>
      <c r="G69" s="16">
        <f>((15.4+$E$57)*0.5*(1+(0.3+$E$58/100)*(1.93+$E$59/100))*6*(1.05+$E$60/100)+(15.4+$E$57)*1.6*(1+(0.3+$E$58/100)*(1.93+$E$59/100))*(1.05+$E$60/100)*0.5*3)*1.15</f>
        <v>1743.0567686999998</v>
      </c>
      <c r="H69" s="17">
        <f>((15.4+$F$57)*0.5*(1+(0.3+$F$58/100)*(1.93+$F$59/100))*6*(1.05+$F$60/100)+(15.4+$F$57)*1.6*(1+(0.3+$F$58/100)*(1.93+$F$59/100))*(1.05+$F$60/100)*0.5*3)*1.15</f>
        <v>3059.9909135999997</v>
      </c>
      <c r="I69" s="29">
        <f t="shared" si="1"/>
        <v>19.299070241257876</v>
      </c>
    </row>
    <row r="70" spans="1:9" ht="16.5" customHeight="1">
      <c r="A70" s="55" t="s">
        <v>2</v>
      </c>
      <c r="B70" s="11" t="s">
        <v>0</v>
      </c>
      <c r="C70" s="12">
        <f>6*0.4*(1+0.12*1.7)*1.3*1*3+6*0.3*1.3*(1/0.5)*3</f>
        <v>25.309440000000002</v>
      </c>
      <c r="D70" s="13">
        <f>(6+$B$57)*0.4*(1+(0.12+$B$58/100)*(1.7+$B$59/100))*(1.3+$B$60/100)*1*3+(6+$B$57)*0.3*(1.3+$B$60/100)*(1/0.5)*3</f>
        <v>90.831000000000003</v>
      </c>
      <c r="E70" s="14">
        <f>(6+$C$57)*0.4*(1+(0.12+$C$58/100)*(1.7+$C$59/100))*(1.3+$C$60/100)*1*3+(6+$C$57)*0.3*(1.3+$C$60/100)*(1/0.5)*3</f>
        <v>178.975008</v>
      </c>
      <c r="F70" s="15">
        <f>(6+$D$57)*0.4*(1+(0.12+$D$58/100)*(1.7+$D$59/100))*(1.3+$D$60/100)*1*3+(6+$D$57)*0.3*(1.3+$D$60/100)*(1/0.5)*3</f>
        <v>348.22656000000006</v>
      </c>
      <c r="G70" s="16">
        <f>(6+$E$57)*0.4*(1+(0.12+$E$58/100)*(1.7+$E$59/100))*(1.3+$E$60/100)*1*3+(6+$E$57)*0.3*(1.3+$E$60/100)*(1/0.5)*3</f>
        <v>547.64352000000008</v>
      </c>
      <c r="H70" s="17">
        <f>(6+$F$57)*0.4*(1+(0.12+$F$58/100)*(1.7+$F$59/100))*(1.3+$F$60/100)*1*3+(6+$F$57)*0.3*(1.3+$F$60/100)*(1/0.5)*3</f>
        <v>927.76800000000003</v>
      </c>
      <c r="I70" s="29">
        <f t="shared" si="1"/>
        <v>36.656994386284325</v>
      </c>
    </row>
    <row r="71" spans="1:9" ht="16.5" customHeight="1">
      <c r="A71" s="56"/>
      <c r="B71" s="11" t="s">
        <v>5</v>
      </c>
      <c r="C71" s="12">
        <f>9*0.4*(1+0.17*1.85)*1.3*1*3+9*0.3*1.3*(1/0.5)*3</f>
        <v>39.51558</v>
      </c>
      <c r="D71" s="13">
        <f>(9+$B$57)*0.4*(1+(0.17+$B$58/100)*(1.85+$B$59/100))*(1.3+$B$60/100)*1*3+(9+$B$57)*0.3*(1.3+$B$60/100)*(1/0.5)*3</f>
        <v>108.89856</v>
      </c>
      <c r="E71" s="14">
        <f>(9+$C$57)*0.4*(1+(0.17+$C$58/100)*(1.85+$C$59/100))*(1.3+$C$60/100)*1*3+(9+$C$57)*0.3*(1.3+$C$60/100)*(1/0.5)*3</f>
        <v>202.71139200000002</v>
      </c>
      <c r="F71" s="15">
        <f>(9+$D$57)*0.4*(1+(0.17+$D$58/100)*(1.85+$D$59/100))*(1.3+$D$60/100)*1*3+(9+$D$57)*0.3*(1.3+$D$60/100)*(1/0.5)*3</f>
        <v>381.25673999999998</v>
      </c>
      <c r="G71" s="16">
        <f>(9+$E$57)*0.4*(1+(0.17+$E$58/100)*(1.85+$E$59/100))*(1.3+$E$60/100)*1*3+(9+$E$57)*0.3*(1.3+$E$60/100)*(1/0.5)*3</f>
        <v>592.93080000000009</v>
      </c>
      <c r="H71" s="17">
        <f>(9+$F$57)*0.4*(1+(0.17+$F$58/100)*(1.85+$F$59/100))*(1.3+$F$60/100)*1*3+(9+$F$57)*0.3*(1.3+$F$60/100)*(1/0.5)*3</f>
        <v>996.83328000000006</v>
      </c>
      <c r="I71" s="29">
        <f t="shared" si="1"/>
        <v>25.226335536514966</v>
      </c>
    </row>
    <row r="72" spans="1:9" ht="16.5" customHeight="1">
      <c r="A72" s="56"/>
      <c r="B72" s="11" t="s">
        <v>26</v>
      </c>
      <c r="C72" s="12">
        <f>(9*1.3*(1+0.17*1.85)*1*2*0.4+9*1.3*(1+0.17*1.85)*(1/0.25)*2*0.3)*1.2</f>
        <v>59.057856000000008</v>
      </c>
      <c r="D72" s="13">
        <f>((9+$B$57)*(1.3+$B$60/100)*(1+(0.17+$B$58/100)*(1.85+$B$59/100))*1*2*0.4+(9+$B$57)*(1.3+$B$60/100)*(1+(0.17+$B$58/100)*(1.85+$B$59/100))*(1/0.25)*2*0.3)*1.2</f>
        <v>166.97779200000002</v>
      </c>
      <c r="E72" s="14">
        <f>((9+$C$57)*(1.3+$C$60/100)*(1+(0.17+$C$58/100)*(1.85+$C$59/100))*1*2*0.4+(9+$C$57)*(1.3+$C$60/100)*(1+(0.17+$C$58/100)*(1.85+$C$59/100))*(1/0.25)*2*0.3)*1.2</f>
        <v>322.9484544</v>
      </c>
      <c r="F72" s="15">
        <f>((9+$D$57)*(1.3+$D$60/100)*(1+(0.17+$D$58/100)*(1.85+$D$59/100))*1*2*0.4+(9+$D$57)*(1.3+$D$60/100)*(1+(0.17+$D$58/100)*(1.85+$D$59/100))*(1/0.25)*2*0.3)*1.2</f>
        <v>623.86156799999992</v>
      </c>
      <c r="G72" s="16">
        <f>((9+$E$57)*(1.3+$E$60/100)*(1+(0.17+$E$58/100)*(1.85+$E$59/100))*1*2*0.4+(9+$E$57)*(1.3+$E$60/100)*(1+(0.17+$E$58/100)*(1.85+$E$59/100))*(1/0.25)*2*0.3)*1.2</f>
        <v>1013.5065599999999</v>
      </c>
      <c r="H72" s="17">
        <f>((9+$F$57)*(1.3+$F$60/100)*(1+(0.17+$F$58/100)*(1.85+$F$59/100))*1*2*0.4+(9+$F$57)*(1.3+$F$60/100)*(1+(0.17+$F$58/100)*(1.85+$F$59/100))*(1/0.25)*2*0.3)*1.2</f>
        <v>1825.898496</v>
      </c>
      <c r="I72" s="29">
        <f t="shared" si="1"/>
        <v>30.917114498704453</v>
      </c>
    </row>
    <row r="73" spans="1:9" ht="16.5" customHeight="1">
      <c r="A73" s="56"/>
      <c r="B73" s="11" t="s">
        <v>27</v>
      </c>
      <c r="C73" s="12">
        <f>(12.9*1.45*(1+0.23*1.85)*1*2*0.45+12.9*1.45*(1+0.23*1.85)*(1/0.25)*2*0.3)*1.2</f>
        <v>105.58935089999999</v>
      </c>
      <c r="D73" s="13">
        <f>((12.9+$B$57)*(1.45+$B$60/100)*(1+(0.23+$B$58/100)*(1.85+$B$59/100))*1*2*0.45+(12.9+$B$57)*(1.45+$B$60/100)*(1+(0.23+$B$58/100)*(1.85+$B$59/100))*(1/0.25)*2*0.3)*1.2</f>
        <v>241.90322111999998</v>
      </c>
      <c r="E73" s="14">
        <f>((12.9+$C$57)*(1.45+$C$60/100)*(1+(0.23+$C$58/100)*(1.85+$C$59/100))*1*2*0.45+(12.9+$C$57)*(1.45+$C$60/100)*(1+(0.23+$C$58/100)*(1.85+$C$59/100))*(1/0.25)*2*0.3)*1.2</f>
        <v>437.34936959999993</v>
      </c>
      <c r="F73" s="15">
        <f>((12.9+$D$57)*(1.45+$D$60/100)*(1+(0.23+$D$58/100)*(1.85+$D$59/100))*1*2*0.45+(12.9+$D$57)*(1.45+$D$60/100)*(1+(0.23+$D$58/100)*(1.85+$D$59/100))*(1/0.25)*2*0.3)*1.2</f>
        <v>807.99620417999995</v>
      </c>
      <c r="G73" s="16">
        <f>((12.9+$E$57)*(1.45+$E$60/100)*(1+(0.23+$E$58/100)*(1.85+$E$59/100))*1*2*0.45+(12.9+$E$57)*(1.45+$E$60/100)*(1+(0.23+$E$58/100)*(1.85+$E$59/100))*(1/0.25)*2*0.3)*1.2</f>
        <v>1285.0007939999998</v>
      </c>
      <c r="H73" s="17">
        <f>((12.9+$F$57)*(1.45+$F$60/100)*(1+(0.23+$F$58/100)*(1.85+$F$59/100))*1*2*0.45+(12.9+$F$57)*(1.45+$F$60/100)*(1+(0.23+$F$58/100)*(1.85+$F$59/100))*(1/0.25)*2*0.3)*1.2</f>
        <v>2265.3393839999999</v>
      </c>
      <c r="I73" s="29">
        <f t="shared" si="1"/>
        <v>21.454241026118481</v>
      </c>
    </row>
    <row r="74" spans="1:9" ht="16.5" customHeight="1">
      <c r="A74" s="57"/>
      <c r="B74" s="11" t="s">
        <v>37</v>
      </c>
      <c r="C74" s="12">
        <f>(12.9*0.45*(1+0.23*1.85)*1.45*1*2+12.9*0.3*(1+0.23*1.85)*1.45*(1/0.25)*2)*1.65</f>
        <v>145.18535748749997</v>
      </c>
      <c r="D74" s="13">
        <f>((12.9+$B$57)*0.45*(1+(0.23+$B$58/100)*(1.85+$B$59/100))*(1.45+$B$60/100)*1*2+(12.9+$B$57)*0.3*(1+(0.23+$B$58/100)*(1.85+$B$59/100))*(1.45+$B$60/100)*(1/0.25)*2)*1.65</f>
        <v>332.61692903999995</v>
      </c>
      <c r="E74" s="14">
        <f>((12.9+$C$57)*0.45*(1+(0.23+$C$58/100)*(1.85+$C$59/100))*(1.45+$C$60/100)*1*2+(12.9+$C$57)*0.3*(1+(0.23+$C$58/100)*(1.85+$C$59/100))*(1.45+$C$60/100)*(1/0.25)*2)*1.65</f>
        <v>601.35538320000001</v>
      </c>
      <c r="F74" s="15">
        <f>((12.9+$D$57)*0.45*(1+(0.23+$D$58/100)*(1.85+$D$59/100))*(1.45+$D$60/100)*1*2+(12.9+$D$57)*0.3*(1+(0.23+$D$58/100)*(1.85+$D$59/100))*(1.45+$D$60/100)*(1/0.25)*2)*1.65</f>
        <v>1110.9947807475003</v>
      </c>
      <c r="G74" s="16">
        <f>((12.9+$E$57)*0.45*(1+(0.23+$E$58/100)*(1.85+$E$59/100))*(1.45+$E$60/100)*1*2+(12.9+$E$57)*0.3*(1+(0.23+$E$58/100)*(1.85+$E$59/100))*(1.45+$E$60/100)*(1/0.25)*2)*1.65</f>
        <v>1766.8760917499999</v>
      </c>
      <c r="H74" s="17">
        <f>((12.9+$F$57)*0.45*(1+(0.23+$F$58/100)*(1.85+$F$59/100))*(1.45+$F$60/100)*1*2+(12.9+$F$57)*0.3*(1+(0.23+$F$58/100)*(1.85+$F$59/100))*(1.45+$F$60/100)*(1/0.25)*2)*1.65</f>
        <v>3114.841653</v>
      </c>
      <c r="I74" s="29">
        <f t="shared" si="1"/>
        <v>21.454241026118481</v>
      </c>
    </row>
    <row r="75" spans="1:9" ht="16.5" customHeight="1">
      <c r="A75" s="55" t="s">
        <v>3</v>
      </c>
      <c r="B75" s="11" t="s">
        <v>0</v>
      </c>
      <c r="C75" s="12">
        <f>8*1*(1+0.03*1.9)*1*0.6*5</f>
        <v>25.367999999999999</v>
      </c>
      <c r="D75" s="13">
        <f>(8+$B$57)*1*(1+(0.03+$B$58/100)*(1.9+$B$59/100))*(1+$B$60/100)*0.6*5</f>
        <v>78.882540000000006</v>
      </c>
      <c r="E75" s="14">
        <f>(8+$C$57)*1*(1+(0.03+$C$58/100)*(1.9+$C$59/100))*(1+$C$60/100)*0.6*5</f>
        <v>158.36879999999996</v>
      </c>
      <c r="F75" s="15">
        <f>(8+$D$57)*1*(1+(0.03+$D$58/100)*(1.9+$D$59/100))*(1+$D$60/100)*0.6*5</f>
        <v>313.53984000000003</v>
      </c>
      <c r="G75" s="16">
        <f>(8+$E$57)*1*(1+(0.03+$E$58/100)*(1.9+$E$59/100))*(1+$E$60/100)*0.6*5</f>
        <v>519.64499999999998</v>
      </c>
      <c r="H75" s="17">
        <f>(8+$F$57)*1*(1+(0.03+$F$58/100)*(1.9+$F$59/100))*(1+$F$60/100)*0.6*5</f>
        <v>966.58380000000011</v>
      </c>
      <c r="I75" s="29">
        <f t="shared" si="1"/>
        <v>38.102483443708614</v>
      </c>
    </row>
    <row r="76" spans="1:9" ht="16.5" customHeight="1">
      <c r="A76" s="56"/>
      <c r="B76" s="11" t="s">
        <v>5</v>
      </c>
      <c r="C76" s="12">
        <f>12.4*1*(1+0.03*2.2)*1*0.6*5</f>
        <v>39.655200000000001</v>
      </c>
      <c r="D76" s="13">
        <f>(12.4+$B$57)*1*(1+(0.03+$B$58/100)*(2.2+$B$59/100))*(1+$B$60/100)*0.6*5</f>
        <v>96.184439999999995</v>
      </c>
      <c r="E76" s="14">
        <f>(12.4+$C$57)*1*(1+(0.03+$C$58/100)*(2.2+$C$59/100))*(1+$C$60/100)*0.6*5</f>
        <v>181.09463999999997</v>
      </c>
      <c r="F76" s="15">
        <f>(12.4+$D$57)*1*(1+(0.03+$D$58/100)*(2.2+$D$59/100))*(1+$D$60/100)*0.6*5</f>
        <v>343.99267200000003</v>
      </c>
      <c r="G76" s="16">
        <f>(12.4+$E$57)*1*(1+(0.03+$E$58/100)*(2.2+$E$59/100))*(1+$E$60/100)*0.6*5</f>
        <v>563.7120000000001</v>
      </c>
      <c r="H76" s="17">
        <f>(12.4+$F$57)*1*(1+(0.03+$F$58/100)*(2.2+$F$59/100))*(1+$F$60/100)*0.6*5</f>
        <v>1045.1142000000002</v>
      </c>
      <c r="I76" s="29">
        <f t="shared" si="1"/>
        <v>26.355035405192766</v>
      </c>
    </row>
    <row r="77" spans="1:9" ht="16.5" customHeight="1">
      <c r="A77" s="56"/>
      <c r="B77" s="11" t="s">
        <v>26</v>
      </c>
      <c r="C77" s="12">
        <f>12.4*1*(1+0.03*2.2)*1*0.6*5+12.4*0.3*(1+0.03*2.2)*(1/0.5)*3</f>
        <v>63.448320000000002</v>
      </c>
      <c r="D77" s="13">
        <f>(12.4+$B$57)*1*(1+(0.03+$B$58/100)*(2.2+$B$59/100))*(1+$B$60/100)*0.6*5+(12.4+$B$57)*0.3*(1+(0.03+$B$58/100)*(2.2+$B$59/100))*(1/0.5)*3</f>
        <v>150.11964</v>
      </c>
      <c r="E77" s="14">
        <f>(12.4+$C$57)*1*(1+(0.03+$C$58/100)*(2.2+$C$59/100))*(1+$C$60/100)*0.6*5+(12.4+$C$57)*0.3*(1+(0.03+$C$58/100)*(2.2+$C$59/100))*(1/0.5)*3</f>
        <v>275.57879999999994</v>
      </c>
      <c r="F77" s="15">
        <f>(12.4+$D$57)*1*(1+(0.03+$D$58/100)*(2.2+$D$59/100))*(1+$D$60/100)*0.6*5+(12.4+$D$57)*0.3*(1+(0.03+$D$58/100)*(2.2+$D$59/100))*(1/0.5)*3</f>
        <v>515.98900800000001</v>
      </c>
      <c r="G77" s="16">
        <f>(12.4+$E$57)*1*(1+(0.03+$E$58/100)*(2.2+$E$59/100))*(1+$E$60/100)*0.6*5+(12.4+$E$57)*0.3*(1+(0.03+$E$58/100)*(2.2+$E$59/100))*(1/0.5)*3</f>
        <v>834.29376000000002</v>
      </c>
      <c r="H77" s="17">
        <f>(12.4+$F$57)*1*(1+(0.03+$F$58/100)*(2.2+$F$59/100))*(1+$F$60/100)*0.6*5+(12.4+$F$57)*0.3*(1+(0.03+$F$58/100)*(2.2+$F$59/100))*(1/0.5)*3</f>
        <v>1527.4746000000002</v>
      </c>
      <c r="I77" s="29">
        <f t="shared" si="1"/>
        <v>24.074311187435697</v>
      </c>
    </row>
    <row r="78" spans="1:9" ht="16.5" customHeight="1">
      <c r="A78" s="56"/>
      <c r="B78" s="11" t="s">
        <v>27</v>
      </c>
      <c r="C78" s="12">
        <f>16*1*(1+0.03*3)*1*1*5+16*0.3*(1+0.03*3)*(1/0.5)*2</f>
        <v>108.128</v>
      </c>
      <c r="D78" s="13">
        <f>(16+$B$57)*1*(1+(0.03+$B$58/100)*(3+$B$59/100))*(1+$B$60/100)*1*5+(16+$B$57)*0.3*(1+(0.03+$B$58/100)*(3+$B$59/100))*(1/0.5)*2</f>
        <v>232.45950000000002</v>
      </c>
      <c r="E78" s="14">
        <f>(16+$C$57)*1*(1+(0.03+$C$58/100)*(3+$C$59/100))*(1+$C$60/100)*1*5+(16+$C$57)*0.3*(1+(0.03+$C$58/100)*(3+$C$59/100))*(1/0.5)*2</f>
        <v>421.3646</v>
      </c>
      <c r="F78" s="15">
        <f>(16+$D$57)*1*(1+(0.03+$D$58/100)*(3+$D$59/100))*(1+$D$60/100)*1*5+(16+$D$57)*0.3*(1+(0.03+$D$58/100)*(3+$D$59/100))*(1/0.5)*2</f>
        <v>779.10335999999995</v>
      </c>
      <c r="G78" s="16">
        <f>(16+$E$57)*1*(1+(0.03+$E$58/100)*(3+$E$59/100))*(1+$E$60/100)*1*5+(16+$E$57)*0.3*(1+(0.03+$E$58/100)*(3+$E$59/100))*(1/0.5)*2</f>
        <v>1272.9964000000002</v>
      </c>
      <c r="H78" s="17">
        <f>(16+$F$57)*1*(1+(0.03+$F$58/100)*(3+$F$59/100))*(1+$F$60/100)*1*5+(16+$F$57)*0.3*(1+(0.03+$F$58/100)*(3+$F$59/100))*(1/0.5)*2</f>
        <v>2379.8389999999999</v>
      </c>
      <c r="I78" s="29">
        <f t="shared" si="1"/>
        <v>22.009461009174313</v>
      </c>
    </row>
    <row r="79" spans="1:9" ht="16.5" customHeight="1">
      <c r="A79" s="57"/>
      <c r="B79" s="11" t="s">
        <v>37</v>
      </c>
      <c r="C79" s="12">
        <f>16*1.06*(1+0.03*3)*1*1*5+16*0.3*(1+0.03*3)*(1/0.5)*6</f>
        <v>155.21600000000001</v>
      </c>
      <c r="D79" s="13">
        <f>(16+$B$57)*1.06*(1+(0.03+$B$58/100)*(3+$B$59/100))*(1+$B$60/100)*1*5+(16+$B$57)*0.3*(1+(0.03+$B$58/100)*(3+$B$59/100))*(1/0.5)*6</f>
        <v>329.02779000000004</v>
      </c>
      <c r="E79" s="14">
        <f>(16+$C$57)*1.06*(1+(0.03+$C$58/100)*(3+$C$59/100))*(1+$C$60/100)*1*5+(16+$C$57)*0.3*(1+(0.03+$C$58/100)*(3+$C$59/100))*(1/0.5)*6</f>
        <v>587.78845999999999</v>
      </c>
      <c r="F79" s="15">
        <f>(16+$D$57)*1.06*(1+(0.03+$D$58/100)*(3+$D$59/100))*(1+$D$60/100)*1*5+(16+$D$57)*0.3*(1+(0.03+$D$58/100)*(3+$D$59/100))*(1/0.5)*6</f>
        <v>1077.759648</v>
      </c>
      <c r="G79" s="16">
        <f>(16+$E$57)*1.06*(1+(0.03+$E$58/100)*(3+$E$59/100))*(1+$E$60/100)*1*5+(16+$E$57)*0.3*(1+(0.03+$E$58/100)*(3+$E$59/100))*(1/0.5)*6</f>
        <v>1747.1662000000001</v>
      </c>
      <c r="H79" s="17">
        <f>(16+$F$57)*1.06*(1+(0.03+$F$58/100)*(3+$F$59/100))*(1+$F$60/100)*1*5+(16+$F$57)*0.3*(1+(0.03+$F$58/100)*(3+$F$59/100))*(1/0.5)*6</f>
        <v>3242.1443000000004</v>
      </c>
      <c r="I79" s="29">
        <f t="shared" si="1"/>
        <v>20.887951628698072</v>
      </c>
    </row>
    <row r="80" spans="1:9" ht="16.5" customHeight="1">
      <c r="A80" s="55" t="s">
        <v>4</v>
      </c>
      <c r="B80" s="11" t="s">
        <v>0</v>
      </c>
      <c r="C80" s="12">
        <f>6*2*(1+0.2*1.6)*1*1.5*1</f>
        <v>23.759999999999998</v>
      </c>
      <c r="D80" s="13">
        <f>(6+$B$57)*2*(1+(0.2+$B$58/100)*(1.6+$B$59/100))*(1+$B$60/100)*1.5*1</f>
        <v>88.563900000000018</v>
      </c>
      <c r="E80" s="14">
        <f>(6+$C$57)*2*(1+(0.2+$C$58/100)*(1.6+$C$59/100))*(1+$C$60/100)*1.5*1</f>
        <v>183.89051999999998</v>
      </c>
      <c r="F80" s="15">
        <f>(6+$D$57)*2*(1+(0.2+$D$58/100)*(1.6+$D$59/100))*(1+$D$60/100)*1.5*1</f>
        <v>370.18080000000009</v>
      </c>
      <c r="G80" s="16">
        <f>(6+$E$57)*2*(1+(0.2+$E$58/100)*(1.6+$E$59/100))*(1+$E$60/100)*1.5*1</f>
        <v>612</v>
      </c>
      <c r="H80" s="17">
        <f>(6+$F$57)*2*(1+(0.2+$F$58/100)*(1.6+$F$59/100))*(1+$F$60/100)*1.5*1</f>
        <v>1112.6212500000001</v>
      </c>
      <c r="I80" s="29">
        <f t="shared" si="1"/>
        <v>46.827493686868699</v>
      </c>
    </row>
    <row r="81" spans="1:9" ht="16.5" customHeight="1">
      <c r="A81" s="56"/>
      <c r="B81" s="11" t="s">
        <v>5</v>
      </c>
      <c r="C81" s="12">
        <f>7.8*2*(1+0.3*1.6)*1*1.5*1</f>
        <v>34.632000000000005</v>
      </c>
      <c r="D81" s="13">
        <f>(7.8+$B$57)*2*(1+(0.3+$B$58/100)*(1.6+$B$59/100))*(1+$B$60/100)*1.5*1</f>
        <v>108.08102099999999</v>
      </c>
      <c r="E81" s="14">
        <f>(7.8+$C$57)*2*(1+(0.3+$C$58/100)*(1.6+$C$59/100))*(1+$C$60/100)*1.5*1</f>
        <v>216.29802599999994</v>
      </c>
      <c r="F81" s="15">
        <f>(7.8+$D$57)*2*(1+(0.3+$D$58/100)*(1.6+$D$59/100))*(1+$D$60/100)*1.5*1</f>
        <v>425.67552000000001</v>
      </c>
      <c r="G81" s="16">
        <f>(7.8+$E$57)*2*(1+(0.3+$E$58/100)*(1.6+$E$59/100))*(1+$E$60/100)*1.5*1</f>
        <v>696.82499999999993</v>
      </c>
      <c r="H81" s="17">
        <f>(7.8+$F$57)*2*(1+(0.3+$F$58/100)*(1.6+$F$59/100))*(1+$F$60/100)*1.5*1</f>
        <v>1249.5249000000001</v>
      </c>
      <c r="I81" s="29">
        <f t="shared" si="1"/>
        <v>36.080067567567568</v>
      </c>
    </row>
    <row r="82" spans="1:9" ht="16.5" customHeight="1">
      <c r="A82" s="56"/>
      <c r="B82" s="11" t="s">
        <v>26</v>
      </c>
      <c r="C82" s="12">
        <f>7.8*2*(1+0.3*1.6)*1*1.5*1*1.5</f>
        <v>51.948000000000008</v>
      </c>
      <c r="D82" s="13">
        <f>(7.8+$B$57)*2*(1+(0.3+$B$58/100)*(1.6+$B$59/100))*(1+$B$60/100)*1.5*1*1.5</f>
        <v>162.1215315</v>
      </c>
      <c r="E82" s="14">
        <f>(7.8+$C$57)*2*(1+(0.3+$C$58/100)*(1.6+$C$59/100))*(1+$C$60/100)*1.5*1*1.5</f>
        <v>324.4470389999999</v>
      </c>
      <c r="F82" s="15">
        <f>(7.8+$D$57)*2*(1+(0.3+$D$58/100)*(1.6+$D$59/100))*(1+$D$60/100)*1.5*1*1.5</f>
        <v>638.51328000000001</v>
      </c>
      <c r="G82" s="16">
        <f>(7.8+$E$57)*2*(1+(0.3+$E$58/100)*(1.6+$E$59/100))*(1+$E$60/100)*1.5*1*1.5</f>
        <v>1045.2375</v>
      </c>
      <c r="H82" s="17">
        <f>(7.8+$F$57)*2*(1+(0.3+$F$58/100)*(1.6+$F$59/100))*(1+$F$60/100)*1.5*1*1.5</f>
        <v>1874.2873500000001</v>
      </c>
      <c r="I82" s="29">
        <f t="shared" si="1"/>
        <v>36.080067567567561</v>
      </c>
    </row>
    <row r="83" spans="1:9" ht="16.5" customHeight="1">
      <c r="A83" s="56"/>
      <c r="B83" s="11" t="s">
        <v>27</v>
      </c>
      <c r="C83" s="12">
        <f>12.3*2*(1+0.55*1.82)*1*1.5*1*1.4</f>
        <v>103.37166000000002</v>
      </c>
      <c r="D83" s="13">
        <f>(12.3+$B$57)*2*(1+(0.55+$B$58/100)*(1.82+$B$59/100))*(1+$B$60/100)*1.5*1*1.4</f>
        <v>246.38346012000002</v>
      </c>
      <c r="E83" s="14">
        <f>(12.3+$C$57)*2*(1+(0.55+$C$58/100)*(1.82+$C$59/100))*(1+$C$60/100)*1.5*1*1.4</f>
        <v>457.65215999999998</v>
      </c>
      <c r="F83" s="15">
        <f>(12.3+$D$57)*2*(1+(0.55+$D$58/100)*(1.82+$D$59/100))*(1+$D$60/100)*1.5*1*1.4</f>
        <v>857.04998399999999</v>
      </c>
      <c r="G83" s="16">
        <f>(12.3+$E$57)*2*(1+(0.55+$E$58/100)*(1.82+$E$59/100))*(1+$E$60/100)*1.5*1*1.4</f>
        <v>1371.6895500000001</v>
      </c>
      <c r="H83" s="17">
        <f>(12.3+$F$57)*2*(1+(0.55+$F$58/100)*(1.82+$F$59/100))*(1+$F$60/100)*1.5*1*1.4</f>
        <v>2392.3798080000001</v>
      </c>
      <c r="I83" s="29">
        <f t="shared" si="1"/>
        <v>23.143478667170477</v>
      </c>
    </row>
    <row r="84" spans="1:9" ht="16.5" customHeight="1">
      <c r="A84" s="57"/>
      <c r="B84" s="11" t="s">
        <v>37</v>
      </c>
      <c r="C84" s="12">
        <f>12.3*1.28*(1+0.55*1.82)*1*1*1*4.5</f>
        <v>141.76684800000004</v>
      </c>
      <c r="D84" s="13">
        <f>(12.3+$B$57)*1.28*(1+(0.55+$B$58/100)*(1.82+$B$59/100))*(1+$B$60/100)*1*1*4.5</f>
        <v>337.89731673599999</v>
      </c>
      <c r="E84" s="14">
        <f>(12.3+$C$57)*1.28*(1+(0.55+$C$58/100)*(1.82+$C$59/100))*(1+$C$60/100)*1*1*4.5</f>
        <v>627.637248</v>
      </c>
      <c r="F84" s="15">
        <f>(12.3+$D$57)*1.28*(1+(0.55+$D$58/100)*(1.82+$D$59/100))*(1+$D$60/100)*1*1*4.5</f>
        <v>1175.3828352</v>
      </c>
      <c r="G84" s="16">
        <f>(12.3+$E$57)*1.28*(1+(0.55+$E$58/100)*(1.82+$E$59/100))*(1+$E$60/100)*1*1*4.5</f>
        <v>1881.1742400000001</v>
      </c>
      <c r="H84" s="17">
        <f>(12.3+$F$57)*1.28*(1+(0.55+$F$58/100)*(1.82+$F$59/100))*(1+$F$60/100)*1*1*4.5</f>
        <v>3280.9780224000001</v>
      </c>
      <c r="I84" s="29">
        <f t="shared" si="1"/>
        <v>23.143478667170474</v>
      </c>
    </row>
    <row r="85" spans="1:9" ht="8.1" customHeight="1"/>
    <row r="86" spans="1:9">
      <c r="A86" s="58" t="s">
        <v>81</v>
      </c>
      <c r="B86" s="52"/>
      <c r="C86" s="42"/>
      <c r="D86" s="42"/>
      <c r="E86" s="42"/>
      <c r="F86" s="42"/>
      <c r="G86" s="42"/>
      <c r="H86" s="42"/>
      <c r="I86" s="42"/>
    </row>
    <row r="87" spans="1:9">
      <c r="A87" s="53" t="s">
        <v>82</v>
      </c>
      <c r="B87" s="52"/>
      <c r="C87" s="42"/>
      <c r="D87" s="42"/>
      <c r="E87" s="42"/>
      <c r="F87" s="42"/>
      <c r="G87" s="42"/>
      <c r="H87" s="42"/>
      <c r="I87" s="42"/>
    </row>
    <row r="88" spans="1:9">
      <c r="A88" s="53" t="s">
        <v>83</v>
      </c>
      <c r="B88" s="52"/>
      <c r="C88" s="42"/>
      <c r="D88" s="42"/>
      <c r="E88" s="42"/>
      <c r="F88" s="42"/>
      <c r="G88" s="42"/>
      <c r="H88" s="42"/>
      <c r="I88" s="42"/>
    </row>
    <row r="89" spans="1:9">
      <c r="A89" s="53" t="s">
        <v>84</v>
      </c>
      <c r="B89" s="52"/>
      <c r="C89" s="42"/>
      <c r="D89" s="42"/>
      <c r="E89" s="42"/>
      <c r="F89" s="42"/>
      <c r="G89" s="42"/>
      <c r="H89" s="42"/>
      <c r="I89" s="42"/>
    </row>
    <row r="90" spans="1:9">
      <c r="A90" s="53" t="s">
        <v>85</v>
      </c>
      <c r="B90" s="52"/>
      <c r="C90" s="42"/>
      <c r="D90" s="42"/>
      <c r="E90" s="42"/>
      <c r="F90" s="42"/>
      <c r="G90" s="42"/>
      <c r="H90" s="42"/>
      <c r="I90" s="42"/>
    </row>
    <row r="91" spans="1:9">
      <c r="A91" s="53" t="s">
        <v>86</v>
      </c>
      <c r="B91" s="52"/>
      <c r="C91" s="42"/>
      <c r="D91" s="42"/>
      <c r="E91" s="42"/>
      <c r="F91" s="42"/>
      <c r="G91" s="42"/>
      <c r="H91" s="42"/>
      <c r="I91" s="42"/>
    </row>
    <row r="92" spans="1:9" ht="15.75" customHeight="1">
      <c r="A92" s="23" t="s">
        <v>87</v>
      </c>
    </row>
  </sheetData>
  <mergeCells count="13">
    <mergeCell ref="A53:I53"/>
    <mergeCell ref="A91:I91"/>
    <mergeCell ref="A55:I55"/>
    <mergeCell ref="A87:I87"/>
    <mergeCell ref="A75:A79"/>
    <mergeCell ref="A86:I86"/>
    <mergeCell ref="A70:A74"/>
    <mergeCell ref="A90:I90"/>
    <mergeCell ref="A63:I63"/>
    <mergeCell ref="A80:A84"/>
    <mergeCell ref="A65:A69"/>
    <mergeCell ref="A89:I89"/>
    <mergeCell ref="A88:I88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tabSelected="1" workbookViewId="0">
      <selection activeCell="AD22" sqref="AD22"/>
    </sheetView>
  </sheetViews>
  <sheetFormatPr defaultRowHeight="14.25"/>
  <cols>
    <col min="1" max="1" width="11.75" style="25" bestFit="1" customWidth="1"/>
    <col min="12" max="19" width="13" style="25" hidden="1" customWidth="1"/>
    <col min="22" max="22" width="9" style="37"/>
  </cols>
  <sheetData>
    <row r="1" spans="1:29">
      <c r="A1" s="26" t="s">
        <v>88</v>
      </c>
      <c r="B1" s="52">
        <v>1</v>
      </c>
      <c r="C1" s="42"/>
      <c r="D1" s="52">
        <v>2</v>
      </c>
      <c r="E1" s="42"/>
      <c r="F1" s="52">
        <v>3</v>
      </c>
      <c r="G1" s="42"/>
      <c r="H1" s="52">
        <v>4</v>
      </c>
      <c r="I1" s="42"/>
      <c r="J1" s="52">
        <v>5</v>
      </c>
      <c r="K1" s="42"/>
      <c r="L1" s="52">
        <v>6</v>
      </c>
      <c r="M1" s="42"/>
      <c r="N1" s="52">
        <v>7</v>
      </c>
      <c r="O1" s="42"/>
      <c r="P1" s="52">
        <v>8</v>
      </c>
      <c r="Q1" s="42"/>
      <c r="R1" s="52">
        <v>9</v>
      </c>
      <c r="S1" s="42"/>
      <c r="T1" s="52">
        <v>10</v>
      </c>
      <c r="U1" s="42"/>
      <c r="V1" s="42"/>
      <c r="W1" s="42"/>
      <c r="X1" s="42"/>
    </row>
    <row r="2" spans="1:29">
      <c r="A2" s="26" t="s">
        <v>89</v>
      </c>
      <c r="B2" s="26" t="s">
        <v>90</v>
      </c>
      <c r="C2" s="26" t="s">
        <v>91</v>
      </c>
      <c r="D2" s="26" t="s">
        <v>90</v>
      </c>
      <c r="E2" s="26" t="s">
        <v>91</v>
      </c>
      <c r="F2" s="26" t="s">
        <v>90</v>
      </c>
      <c r="G2" s="26" t="s">
        <v>91</v>
      </c>
      <c r="H2" s="26" t="s">
        <v>90</v>
      </c>
      <c r="I2" s="26" t="s">
        <v>91</v>
      </c>
      <c r="J2" s="26" t="s">
        <v>90</v>
      </c>
      <c r="K2" s="26" t="s">
        <v>91</v>
      </c>
      <c r="L2" s="26" t="s">
        <v>90</v>
      </c>
      <c r="M2" s="26" t="s">
        <v>91</v>
      </c>
      <c r="N2" s="26" t="s">
        <v>90</v>
      </c>
      <c r="O2" s="26" t="s">
        <v>91</v>
      </c>
      <c r="P2" s="26" t="s">
        <v>90</v>
      </c>
      <c r="Q2" s="26" t="s">
        <v>91</v>
      </c>
      <c r="R2" s="26" t="s">
        <v>90</v>
      </c>
      <c r="S2" s="26" t="s">
        <v>91</v>
      </c>
      <c r="T2" s="26" t="s">
        <v>92</v>
      </c>
      <c r="U2" s="26" t="s">
        <v>93</v>
      </c>
      <c r="V2" s="38" t="s">
        <v>114</v>
      </c>
      <c r="W2" s="26" t="s">
        <v>94</v>
      </c>
      <c r="X2" s="26" t="s">
        <v>95</v>
      </c>
      <c r="Z2" s="26" t="s">
        <v>113</v>
      </c>
    </row>
    <row r="3" spans="1:29">
      <c r="A3" s="26">
        <v>1</v>
      </c>
      <c r="B3" s="26">
        <v>20</v>
      </c>
      <c r="C3" s="26">
        <f>ROUNDDOWN((天赋设定!C65*30)*0.7/B3,0)</f>
        <v>26</v>
      </c>
      <c r="D3" s="26">
        <v>22</v>
      </c>
      <c r="E3" s="26">
        <f>ROUNDDOWN((天赋设定!C66*30)*0.7/D3,0)</f>
        <v>37</v>
      </c>
      <c r="F3" s="26">
        <v>24</v>
      </c>
      <c r="G3" s="26">
        <f>ROUNDDOWN((天赋设定!C67*30)*0.7/F3,0)</f>
        <v>52</v>
      </c>
      <c r="H3" s="26">
        <v>26</v>
      </c>
      <c r="I3" s="26">
        <f>ROUNDDOWN((天赋设定!C68*30)*0.7/H3,0)</f>
        <v>93</v>
      </c>
      <c r="J3" s="26">
        <v>28</v>
      </c>
      <c r="K3" s="26">
        <f>ROUNDDOWN((30*天赋设定!C69)*0.7/J3,0)</f>
        <v>118</v>
      </c>
      <c r="L3" s="26">
        <v>30</v>
      </c>
      <c r="M3" s="26">
        <f>ROUNDDOWN((30*136)*0.75/L3,0)</f>
        <v>102</v>
      </c>
      <c r="N3" s="26">
        <v>30</v>
      </c>
      <c r="O3" s="26">
        <f>ROUNDDOWN((20*294)*0.8/N3,0)</f>
        <v>156</v>
      </c>
      <c r="P3" s="26">
        <v>30</v>
      </c>
      <c r="Q3" s="26">
        <f>ROUNDDOWN((20*294)*0.85/P3,0)</f>
        <v>166</v>
      </c>
      <c r="R3" s="26">
        <v>30</v>
      </c>
      <c r="S3" s="26">
        <f>ROUNDDOWN((20*426)*0.9/R3,0)</f>
        <v>255</v>
      </c>
      <c r="T3" s="26">
        <v>2</v>
      </c>
      <c r="U3" s="26">
        <f>(K3*J3/2)*0.7</f>
        <v>1156.3999999999999</v>
      </c>
      <c r="V3" s="38">
        <f>ROUNDDOWN(U3*1400/2400,0)</f>
        <v>674</v>
      </c>
      <c r="W3" s="26">
        <v>0</v>
      </c>
      <c r="X3" s="26"/>
      <c r="AB3" s="30">
        <v>1</v>
      </c>
      <c r="AC3" s="31"/>
    </row>
    <row r="4" spans="1:29">
      <c r="A4" s="26">
        <v>2</v>
      </c>
      <c r="B4" s="26">
        <v>20</v>
      </c>
      <c r="C4" s="26">
        <f>ROUNDUP(C3*(1+$Z$6),0)</f>
        <v>34</v>
      </c>
      <c r="D4" s="26">
        <v>22</v>
      </c>
      <c r="E4" s="26">
        <f>ROUNDUP(E3*(1+$Z$6),0)</f>
        <v>49</v>
      </c>
      <c r="F4" s="26">
        <v>24</v>
      </c>
      <c r="G4" s="26">
        <f>ROUNDUP(G3*(1+$Z$6),0)</f>
        <v>68</v>
      </c>
      <c r="H4" s="26">
        <v>26</v>
      </c>
      <c r="I4" s="26">
        <f>ROUNDUP(I3*(1+$Z$6),0)</f>
        <v>121</v>
      </c>
      <c r="J4" s="26">
        <v>28</v>
      </c>
      <c r="K4" s="26">
        <f>ROUNDUP(K3*(1+$Z$6),0)</f>
        <v>154</v>
      </c>
      <c r="L4" s="26">
        <v>30</v>
      </c>
      <c r="M4" s="26">
        <f t="shared" ref="M4:M17" si="0">ROUNDUP(M3*(1+0.1),0)</f>
        <v>113</v>
      </c>
      <c r="N4" s="26">
        <v>30</v>
      </c>
      <c r="O4" s="26">
        <f t="shared" ref="O4:O17" si="1">ROUNDUP(O3*(1+0.1),0)</f>
        <v>172</v>
      </c>
      <c r="P4" s="26">
        <v>30</v>
      </c>
      <c r="Q4" s="26">
        <f t="shared" ref="Q4:Q17" si="2">ROUNDUP(Q3*(1+0.1),0)</f>
        <v>183</v>
      </c>
      <c r="R4" s="26">
        <v>30</v>
      </c>
      <c r="S4" s="26">
        <f t="shared" ref="S4:S17" si="3">ROUNDUP(S3*(1+0.1),0)</f>
        <v>281</v>
      </c>
      <c r="T4" s="26">
        <v>2</v>
      </c>
      <c r="U4" s="26">
        <f>ROUNDUP(U3*(1+$Z$6),0)</f>
        <v>1504</v>
      </c>
      <c r="V4" s="38">
        <f>ROUNDDOWN(U4*2000/2400,0)</f>
        <v>1253</v>
      </c>
      <c r="W4" s="26">
        <v>0</v>
      </c>
      <c r="X4" s="26"/>
      <c r="AB4" s="30">
        <f t="shared" ref="AB4:AB27" si="4">ROUNDUP(E4/$E$3,3)</f>
        <v>1.325</v>
      </c>
      <c r="AC4" s="31"/>
    </row>
    <row r="5" spans="1:29">
      <c r="A5" s="26">
        <v>3</v>
      </c>
      <c r="B5" s="26">
        <v>20</v>
      </c>
      <c r="C5" s="26">
        <f>ROUNDUP(C4*(1+$Z$6),0)</f>
        <v>45</v>
      </c>
      <c r="D5" s="26">
        <v>22</v>
      </c>
      <c r="E5" s="26">
        <f>ROUNDUP(E4*(1+$Z$6),0)</f>
        <v>64</v>
      </c>
      <c r="F5" s="26">
        <v>24</v>
      </c>
      <c r="G5" s="26">
        <f>ROUNDUP(G4*(1+$Z$6),0)</f>
        <v>89</v>
      </c>
      <c r="H5" s="26">
        <v>26</v>
      </c>
      <c r="I5" s="26">
        <f>ROUNDUP(I4*(1+$Z$6),0)</f>
        <v>158</v>
      </c>
      <c r="J5" s="26">
        <v>28</v>
      </c>
      <c r="K5" s="26">
        <f>ROUNDUP(K4*(1+$Z$6),0)</f>
        <v>201</v>
      </c>
      <c r="L5" s="26">
        <v>30</v>
      </c>
      <c r="M5" s="26">
        <f t="shared" si="0"/>
        <v>125</v>
      </c>
      <c r="N5" s="26">
        <v>30</v>
      </c>
      <c r="O5" s="26">
        <f t="shared" si="1"/>
        <v>190</v>
      </c>
      <c r="P5" s="26">
        <v>30</v>
      </c>
      <c r="Q5" s="26">
        <f t="shared" si="2"/>
        <v>202</v>
      </c>
      <c r="R5" s="26">
        <v>30</v>
      </c>
      <c r="S5" s="26">
        <f t="shared" si="3"/>
        <v>310</v>
      </c>
      <c r="T5" s="26">
        <v>2</v>
      </c>
      <c r="U5" s="26">
        <f t="shared" ref="U5:U7" si="5">ROUNDUP(U4*(1+$Z$6),0)</f>
        <v>1956</v>
      </c>
      <c r="V5" s="38">
        <f>ROUNDDOWN(U5*2400/2400,0)</f>
        <v>1956</v>
      </c>
      <c r="W5" s="26">
        <v>0</v>
      </c>
      <c r="X5" s="26"/>
      <c r="AB5" s="30">
        <f t="shared" si="4"/>
        <v>1.73</v>
      </c>
      <c r="AC5" s="31"/>
    </row>
    <row r="6" spans="1:29">
      <c r="A6" s="26">
        <v>4</v>
      </c>
      <c r="B6" s="26">
        <v>20</v>
      </c>
      <c r="C6" s="26">
        <f>ROUNDUP(C5*(1+$Z$6),0)</f>
        <v>59</v>
      </c>
      <c r="D6" s="26">
        <v>22</v>
      </c>
      <c r="E6" s="26">
        <f>ROUNDUP(E5*(1+$Z$6),0)</f>
        <v>84</v>
      </c>
      <c r="F6" s="26">
        <v>24</v>
      </c>
      <c r="G6" s="26">
        <f>ROUNDUP(G5*(1+$Z$6),0)</f>
        <v>116</v>
      </c>
      <c r="H6" s="26">
        <v>26</v>
      </c>
      <c r="I6" s="26">
        <f>ROUNDUP(I5*(1+$Z$6),0)</f>
        <v>206</v>
      </c>
      <c r="J6" s="26">
        <v>28</v>
      </c>
      <c r="K6" s="26">
        <f>ROUNDUP(K5*(1+$Z$6),0)</f>
        <v>262</v>
      </c>
      <c r="L6" s="26">
        <v>30</v>
      </c>
      <c r="M6" s="26">
        <f t="shared" si="0"/>
        <v>138</v>
      </c>
      <c r="N6" s="26">
        <v>30</v>
      </c>
      <c r="O6" s="26">
        <f t="shared" si="1"/>
        <v>209</v>
      </c>
      <c r="P6" s="26">
        <v>30</v>
      </c>
      <c r="Q6" s="26">
        <f t="shared" si="2"/>
        <v>223</v>
      </c>
      <c r="R6" s="26">
        <v>30</v>
      </c>
      <c r="S6" s="26">
        <f t="shared" si="3"/>
        <v>341</v>
      </c>
      <c r="T6" s="26">
        <v>2</v>
      </c>
      <c r="U6" s="26">
        <f t="shared" si="5"/>
        <v>2543</v>
      </c>
      <c r="V6" s="38">
        <f t="shared" ref="V6:V27" si="6">ROUNDDOWN(U6*2400/2400,0)</f>
        <v>2543</v>
      </c>
      <c r="W6" s="26">
        <v>0</v>
      </c>
      <c r="X6" s="26"/>
      <c r="Z6" s="36">
        <v>0.3</v>
      </c>
      <c r="AB6" s="30">
        <f t="shared" si="4"/>
        <v>2.2709999999999999</v>
      </c>
      <c r="AC6" s="31"/>
    </row>
    <row r="7" spans="1:29">
      <c r="A7" s="26">
        <v>5</v>
      </c>
      <c r="B7" s="26">
        <v>20</v>
      </c>
      <c r="C7" s="26">
        <f>ROUNDUP(C6*(1+$Z$6),0)</f>
        <v>77</v>
      </c>
      <c r="D7" s="26">
        <v>22</v>
      </c>
      <c r="E7" s="26">
        <f>ROUNDUP(E6*(1+$Z$6),0)</f>
        <v>110</v>
      </c>
      <c r="F7" s="26">
        <v>24</v>
      </c>
      <c r="G7" s="26">
        <f>ROUNDUP(G6*(1+$Z$6),0)</f>
        <v>151</v>
      </c>
      <c r="H7" s="26">
        <v>26</v>
      </c>
      <c r="I7" s="26">
        <f>ROUNDUP(I6*(1+$Z$6),0)</f>
        <v>268</v>
      </c>
      <c r="J7" s="26">
        <v>28</v>
      </c>
      <c r="K7" s="26">
        <f>ROUNDUP(K6*(1+$Z$6),0)</f>
        <v>341</v>
      </c>
      <c r="L7" s="26">
        <v>30</v>
      </c>
      <c r="M7" s="26">
        <f t="shared" si="0"/>
        <v>152</v>
      </c>
      <c r="N7" s="26">
        <v>30</v>
      </c>
      <c r="O7" s="26">
        <f t="shared" si="1"/>
        <v>230</v>
      </c>
      <c r="P7" s="26">
        <v>30</v>
      </c>
      <c r="Q7" s="26">
        <f t="shared" si="2"/>
        <v>246</v>
      </c>
      <c r="R7" s="26">
        <v>30</v>
      </c>
      <c r="S7" s="26">
        <f t="shared" si="3"/>
        <v>376</v>
      </c>
      <c r="T7" s="26">
        <v>0</v>
      </c>
      <c r="U7" s="26">
        <f t="shared" si="5"/>
        <v>3306</v>
      </c>
      <c r="V7" s="38">
        <f t="shared" si="6"/>
        <v>3306</v>
      </c>
      <c r="W7" s="26">
        <v>1</v>
      </c>
      <c r="X7" s="26">
        <f>V7*2</f>
        <v>6612</v>
      </c>
      <c r="Z7" s="25">
        <f>天赋设定!D69*20</f>
        <v>6761.8398758399999</v>
      </c>
      <c r="AB7" s="30">
        <f t="shared" si="4"/>
        <v>2.9729999999999999</v>
      </c>
      <c r="AC7" s="31"/>
    </row>
    <row r="8" spans="1:29">
      <c r="A8" s="26">
        <v>6</v>
      </c>
      <c r="B8" s="26">
        <v>20</v>
      </c>
      <c r="C8" s="26">
        <f>ROUNDDOWN((天赋设定!D65*30)*0.7/$B$3,0)</f>
        <v>89</v>
      </c>
      <c r="D8" s="26">
        <v>22</v>
      </c>
      <c r="E8" s="26">
        <f>ROUNDDOWN((天赋设定!D66*30)*0.7/D8,0)</f>
        <v>102</v>
      </c>
      <c r="F8" s="26">
        <v>24</v>
      </c>
      <c r="G8" s="26">
        <f>ROUNDDOWN((天赋设定!D67*30)*0.7/$B$3,0)</f>
        <v>170</v>
      </c>
      <c r="H8" s="26">
        <v>26</v>
      </c>
      <c r="I8" s="26">
        <f>ROUNDDOWN((天赋设定!D73*30)*0.7/$B$3,0)</f>
        <v>253</v>
      </c>
      <c r="J8" s="26">
        <v>28</v>
      </c>
      <c r="K8" s="26">
        <f>ROUNDDOWN((天赋设定!D69*30)*0.7/$B$3,0)</f>
        <v>354</v>
      </c>
      <c r="L8" s="26">
        <v>30</v>
      </c>
      <c r="M8" s="26">
        <f t="shared" si="0"/>
        <v>168</v>
      </c>
      <c r="N8" s="26">
        <v>30</v>
      </c>
      <c r="O8" s="26">
        <f t="shared" si="1"/>
        <v>253</v>
      </c>
      <c r="P8" s="26">
        <v>30</v>
      </c>
      <c r="Q8" s="26">
        <f t="shared" si="2"/>
        <v>271</v>
      </c>
      <c r="R8" s="26">
        <v>30</v>
      </c>
      <c r="S8" s="26">
        <f t="shared" si="3"/>
        <v>414</v>
      </c>
      <c r="T8" s="26">
        <v>2</v>
      </c>
      <c r="U8" s="26">
        <f>(K8*J8/2)*0.7</f>
        <v>3469.2</v>
      </c>
      <c r="V8" s="38">
        <f t="shared" si="6"/>
        <v>3469</v>
      </c>
      <c r="W8" s="26">
        <v>0</v>
      </c>
      <c r="X8" s="26"/>
      <c r="AB8" s="32">
        <f t="shared" si="4"/>
        <v>2.7569999999999997</v>
      </c>
      <c r="AC8" s="31"/>
    </row>
    <row r="9" spans="1:29">
      <c r="A9" s="26">
        <v>7</v>
      </c>
      <c r="B9" s="26">
        <v>20</v>
      </c>
      <c r="C9" s="26">
        <f>ROUNDUP(C8*(1+$Z$11),0)</f>
        <v>102</v>
      </c>
      <c r="D9" s="26">
        <v>22</v>
      </c>
      <c r="E9" s="26">
        <f>ROUNDUP(E8*(1+$Z$11),0)</f>
        <v>117</v>
      </c>
      <c r="F9" s="26">
        <v>24</v>
      </c>
      <c r="G9" s="26">
        <f>ROUNDUP(G8*(1+$Z$11),0)</f>
        <v>195</v>
      </c>
      <c r="H9" s="26">
        <v>26</v>
      </c>
      <c r="I9" s="26">
        <f>ROUNDUP(I8*(1+$Z$11),0)</f>
        <v>290</v>
      </c>
      <c r="J9" s="26">
        <v>28</v>
      </c>
      <c r="K9" s="26">
        <f>ROUNDUP(K8*(1+$Z$11),0)</f>
        <v>406</v>
      </c>
      <c r="L9" s="26">
        <v>30</v>
      </c>
      <c r="M9" s="26">
        <f t="shared" ref="M9:M16" si="7">ROUNDUP(M8*(1+0.1),0)</f>
        <v>185</v>
      </c>
      <c r="N9" s="26">
        <v>30</v>
      </c>
      <c r="O9" s="26">
        <f t="shared" ref="O9:O16" si="8">ROUNDUP(O8*(1+0.1),0)</f>
        <v>279</v>
      </c>
      <c r="P9" s="26">
        <v>30</v>
      </c>
      <c r="Q9" s="26">
        <f t="shared" ref="Q9:Q16" si="9">ROUNDUP(Q8*(1+0.1),0)</f>
        <v>299</v>
      </c>
      <c r="R9" s="26">
        <v>30</v>
      </c>
      <c r="S9" s="26">
        <f t="shared" ref="S9:S16" si="10">ROUNDUP(S8*(1+0.1),0)</f>
        <v>456</v>
      </c>
      <c r="T9" s="26">
        <v>2</v>
      </c>
      <c r="U9" s="26">
        <f>ROUNDUP(U8*(1+$Z$11),0)</f>
        <v>3973</v>
      </c>
      <c r="V9" s="38">
        <f t="shared" si="6"/>
        <v>3973</v>
      </c>
      <c r="W9" s="26">
        <v>0</v>
      </c>
      <c r="X9" s="26"/>
      <c r="AB9" s="32">
        <f t="shared" si="4"/>
        <v>3.1629999999999998</v>
      </c>
      <c r="AC9" s="31"/>
    </row>
    <row r="10" spans="1:29">
      <c r="A10" s="26">
        <v>8</v>
      </c>
      <c r="B10" s="26">
        <v>20</v>
      </c>
      <c r="C10" s="26">
        <f t="shared" ref="C10:K12" si="11">ROUNDUP(C9*(1+$Z$11),0)</f>
        <v>117</v>
      </c>
      <c r="D10" s="26">
        <v>22</v>
      </c>
      <c r="E10" s="26">
        <f t="shared" si="11"/>
        <v>134</v>
      </c>
      <c r="F10" s="26">
        <v>24</v>
      </c>
      <c r="G10" s="26">
        <f t="shared" si="11"/>
        <v>224</v>
      </c>
      <c r="H10" s="26">
        <v>26</v>
      </c>
      <c r="I10" s="26">
        <f t="shared" si="11"/>
        <v>333</v>
      </c>
      <c r="J10" s="26">
        <v>28</v>
      </c>
      <c r="K10" s="26">
        <f t="shared" si="11"/>
        <v>465</v>
      </c>
      <c r="L10" s="26">
        <v>30</v>
      </c>
      <c r="M10" s="26">
        <f t="shared" si="7"/>
        <v>204</v>
      </c>
      <c r="N10" s="26">
        <v>30</v>
      </c>
      <c r="O10" s="26">
        <f t="shared" si="8"/>
        <v>307</v>
      </c>
      <c r="P10" s="26">
        <v>30</v>
      </c>
      <c r="Q10" s="26">
        <f t="shared" si="9"/>
        <v>329</v>
      </c>
      <c r="R10" s="26">
        <v>30</v>
      </c>
      <c r="S10" s="26">
        <f t="shared" si="10"/>
        <v>502</v>
      </c>
      <c r="T10" s="26">
        <v>2</v>
      </c>
      <c r="U10" s="26">
        <f t="shared" ref="U10:U12" si="12">ROUNDUP(U9*(1+$Z$11),0)</f>
        <v>4550</v>
      </c>
      <c r="V10" s="38">
        <f t="shared" si="6"/>
        <v>4550</v>
      </c>
      <c r="W10" s="26">
        <v>0</v>
      </c>
      <c r="X10" s="26"/>
      <c r="AB10" s="32">
        <f t="shared" si="4"/>
        <v>3.6219999999999999</v>
      </c>
      <c r="AC10" s="31"/>
    </row>
    <row r="11" spans="1:29">
      <c r="A11" s="26">
        <v>9</v>
      </c>
      <c r="B11" s="26">
        <v>20</v>
      </c>
      <c r="C11" s="26">
        <f t="shared" si="11"/>
        <v>134</v>
      </c>
      <c r="D11" s="26">
        <v>22</v>
      </c>
      <c r="E11" s="26">
        <f t="shared" si="11"/>
        <v>154</v>
      </c>
      <c r="F11" s="26">
        <v>24</v>
      </c>
      <c r="G11" s="26">
        <f t="shared" si="11"/>
        <v>257</v>
      </c>
      <c r="H11" s="26">
        <v>26</v>
      </c>
      <c r="I11" s="26">
        <f t="shared" si="11"/>
        <v>382</v>
      </c>
      <c r="J11" s="26">
        <v>28</v>
      </c>
      <c r="K11" s="26">
        <f t="shared" si="11"/>
        <v>533</v>
      </c>
      <c r="L11" s="26">
        <v>30</v>
      </c>
      <c r="M11" s="26">
        <f t="shared" si="7"/>
        <v>225</v>
      </c>
      <c r="N11" s="26">
        <v>30</v>
      </c>
      <c r="O11" s="26">
        <f t="shared" si="8"/>
        <v>338</v>
      </c>
      <c r="P11" s="26">
        <v>30</v>
      </c>
      <c r="Q11" s="26">
        <f t="shared" si="9"/>
        <v>362</v>
      </c>
      <c r="R11" s="26">
        <v>30</v>
      </c>
      <c r="S11" s="26">
        <f t="shared" si="10"/>
        <v>553</v>
      </c>
      <c r="T11" s="26">
        <v>2</v>
      </c>
      <c r="U11" s="26">
        <f t="shared" si="12"/>
        <v>5210</v>
      </c>
      <c r="V11" s="38">
        <f t="shared" si="6"/>
        <v>5210</v>
      </c>
      <c r="W11" s="26">
        <v>0</v>
      </c>
      <c r="X11" s="26"/>
      <c r="Z11" s="36">
        <v>0.14499999999999999</v>
      </c>
      <c r="AB11" s="32">
        <f t="shared" si="4"/>
        <v>4.1630000000000003</v>
      </c>
      <c r="AC11" s="31"/>
    </row>
    <row r="12" spans="1:29">
      <c r="A12" s="26">
        <v>10</v>
      </c>
      <c r="B12" s="26">
        <v>20</v>
      </c>
      <c r="C12" s="26">
        <f t="shared" si="11"/>
        <v>154</v>
      </c>
      <c r="D12" s="26">
        <v>22</v>
      </c>
      <c r="E12" s="26">
        <f t="shared" si="11"/>
        <v>177</v>
      </c>
      <c r="F12" s="26">
        <v>24</v>
      </c>
      <c r="G12" s="26">
        <f t="shared" si="11"/>
        <v>295</v>
      </c>
      <c r="H12" s="26">
        <v>26</v>
      </c>
      <c r="I12" s="26">
        <f t="shared" si="11"/>
        <v>438</v>
      </c>
      <c r="J12" s="26">
        <v>28</v>
      </c>
      <c r="K12" s="26">
        <f t="shared" si="11"/>
        <v>611</v>
      </c>
      <c r="L12" s="26">
        <v>30</v>
      </c>
      <c r="M12" s="26">
        <f t="shared" si="7"/>
        <v>248</v>
      </c>
      <c r="N12" s="26">
        <v>30</v>
      </c>
      <c r="O12" s="26">
        <f t="shared" si="8"/>
        <v>372</v>
      </c>
      <c r="P12" s="26">
        <v>30</v>
      </c>
      <c r="Q12" s="26">
        <f t="shared" si="9"/>
        <v>399</v>
      </c>
      <c r="R12" s="26">
        <v>30</v>
      </c>
      <c r="S12" s="26">
        <f t="shared" si="10"/>
        <v>609</v>
      </c>
      <c r="T12" s="26">
        <v>0</v>
      </c>
      <c r="U12" s="26">
        <f t="shared" si="12"/>
        <v>5966</v>
      </c>
      <c r="V12" s="38">
        <f t="shared" si="6"/>
        <v>5966</v>
      </c>
      <c r="W12" s="26">
        <v>1</v>
      </c>
      <c r="X12" s="38">
        <f>V12*2</f>
        <v>11932</v>
      </c>
      <c r="Z12" s="25">
        <f>天赋设定!E69*20</f>
        <v>12048.956971199996</v>
      </c>
      <c r="AB12" s="32">
        <f t="shared" si="4"/>
        <v>4.7840000000000007</v>
      </c>
      <c r="AC12" s="31"/>
    </row>
    <row r="13" spans="1:29">
      <c r="A13" s="26">
        <v>11</v>
      </c>
      <c r="B13" s="26">
        <v>20</v>
      </c>
      <c r="C13" s="26">
        <f>ROUNDDOWN((天赋设定!E65*30)*0.7/$B$3,0)</f>
        <v>180</v>
      </c>
      <c r="D13" s="26">
        <v>22</v>
      </c>
      <c r="E13" s="26">
        <f>ROUNDDOWN((天赋设定!E66*30)*0.7/D13,0)</f>
        <v>197</v>
      </c>
      <c r="F13" s="26">
        <v>24</v>
      </c>
      <c r="G13" s="26">
        <f>ROUNDDOWN((天赋设定!E67*30)*0.7/$B$3,0)</f>
        <v>329</v>
      </c>
      <c r="H13" s="26">
        <v>26</v>
      </c>
      <c r="I13" s="26">
        <f>ROUNDDOWN((天赋设定!E68*30)*0.7/$B$3,0)</f>
        <v>463</v>
      </c>
      <c r="J13" s="26">
        <v>28</v>
      </c>
      <c r="K13" s="26">
        <f>ROUNDDOWN((天赋设定!E69*30)*0.7/$B$3,0)</f>
        <v>632</v>
      </c>
      <c r="L13" s="26">
        <v>30</v>
      </c>
      <c r="M13" s="26">
        <f t="shared" si="7"/>
        <v>273</v>
      </c>
      <c r="N13" s="26">
        <v>30</v>
      </c>
      <c r="O13" s="26">
        <f t="shared" si="8"/>
        <v>410</v>
      </c>
      <c r="P13" s="26">
        <v>30</v>
      </c>
      <c r="Q13" s="26">
        <f t="shared" si="9"/>
        <v>439</v>
      </c>
      <c r="R13" s="26">
        <v>30</v>
      </c>
      <c r="S13" s="26">
        <f t="shared" si="10"/>
        <v>670</v>
      </c>
      <c r="T13" s="26">
        <v>2</v>
      </c>
      <c r="U13" s="26">
        <f>(K13*J13/2)*0.7</f>
        <v>6193.5999999999995</v>
      </c>
      <c r="V13" s="38">
        <f t="shared" si="6"/>
        <v>6193</v>
      </c>
      <c r="W13" s="26">
        <v>0</v>
      </c>
      <c r="X13" s="26"/>
      <c r="AB13" s="33">
        <f t="shared" si="4"/>
        <v>5.3250000000000002</v>
      </c>
      <c r="AC13" s="31"/>
    </row>
    <row r="14" spans="1:29">
      <c r="A14" s="26">
        <v>12</v>
      </c>
      <c r="B14" s="26">
        <v>20</v>
      </c>
      <c r="C14" s="26">
        <f>ROUNDUP(C13*(1+$Z$16),0)</f>
        <v>207</v>
      </c>
      <c r="D14" s="26">
        <v>22</v>
      </c>
      <c r="E14" s="26">
        <f>ROUNDUP(E13*(1+$Z$16),0)</f>
        <v>226</v>
      </c>
      <c r="F14" s="26">
        <v>24</v>
      </c>
      <c r="G14" s="26">
        <f>ROUNDUP(G13*(1+$Z$16),0)</f>
        <v>377</v>
      </c>
      <c r="H14" s="26">
        <v>26</v>
      </c>
      <c r="I14" s="26">
        <f>ROUNDUP(I13*(1+$Z$16),0)</f>
        <v>531</v>
      </c>
      <c r="J14" s="26">
        <v>28</v>
      </c>
      <c r="K14" s="26">
        <f>ROUNDUP(K13*(1+$Z$16),0)</f>
        <v>724</v>
      </c>
      <c r="L14" s="26">
        <v>30</v>
      </c>
      <c r="M14" s="26">
        <f t="shared" si="7"/>
        <v>301</v>
      </c>
      <c r="N14" s="26">
        <v>30</v>
      </c>
      <c r="O14" s="26">
        <f t="shared" si="8"/>
        <v>451</v>
      </c>
      <c r="P14" s="26">
        <v>30</v>
      </c>
      <c r="Q14" s="26">
        <f t="shared" si="9"/>
        <v>483</v>
      </c>
      <c r="R14" s="26">
        <v>30</v>
      </c>
      <c r="S14" s="26">
        <f t="shared" si="10"/>
        <v>737</v>
      </c>
      <c r="T14" s="26">
        <v>2</v>
      </c>
      <c r="U14" s="26">
        <f>ROUNDUP(U13*(1+$Z$16),0)</f>
        <v>7092</v>
      </c>
      <c r="V14" s="38">
        <f t="shared" si="6"/>
        <v>7092</v>
      </c>
      <c r="W14" s="26">
        <v>0</v>
      </c>
      <c r="X14" s="26"/>
      <c r="AB14" s="33">
        <f t="shared" si="4"/>
        <v>6.109</v>
      </c>
      <c r="AC14" s="31"/>
    </row>
    <row r="15" spans="1:29">
      <c r="A15" s="26">
        <v>13</v>
      </c>
      <c r="B15" s="26">
        <v>20</v>
      </c>
      <c r="C15" s="26">
        <f t="shared" ref="C15:K17" si="13">ROUNDUP(C14*(1+$Z$16),0)</f>
        <v>238</v>
      </c>
      <c r="D15" s="26">
        <v>22</v>
      </c>
      <c r="E15" s="26">
        <f t="shared" si="13"/>
        <v>259</v>
      </c>
      <c r="F15" s="26">
        <v>24</v>
      </c>
      <c r="G15" s="26">
        <f t="shared" si="13"/>
        <v>432</v>
      </c>
      <c r="H15" s="26">
        <v>26</v>
      </c>
      <c r="I15" s="26">
        <f t="shared" si="13"/>
        <v>608</v>
      </c>
      <c r="J15" s="26">
        <v>28</v>
      </c>
      <c r="K15" s="26">
        <f t="shared" si="13"/>
        <v>829</v>
      </c>
      <c r="L15" s="26">
        <v>30</v>
      </c>
      <c r="M15" s="26">
        <f t="shared" si="7"/>
        <v>332</v>
      </c>
      <c r="N15" s="26">
        <v>30</v>
      </c>
      <c r="O15" s="26">
        <f t="shared" si="8"/>
        <v>497</v>
      </c>
      <c r="P15" s="26">
        <v>30</v>
      </c>
      <c r="Q15" s="26">
        <f t="shared" si="9"/>
        <v>532</v>
      </c>
      <c r="R15" s="26">
        <v>30</v>
      </c>
      <c r="S15" s="26">
        <f t="shared" si="10"/>
        <v>811</v>
      </c>
      <c r="T15" s="26">
        <v>2</v>
      </c>
      <c r="U15" s="26">
        <f t="shared" ref="U15:U17" si="14">ROUNDUP(U14*(1+$Z$16),0)</f>
        <v>8121</v>
      </c>
      <c r="V15" s="38">
        <f t="shared" si="6"/>
        <v>8121</v>
      </c>
      <c r="W15" s="26">
        <v>0</v>
      </c>
      <c r="X15" s="26"/>
      <c r="AB15" s="33">
        <f t="shared" si="4"/>
        <v>7</v>
      </c>
      <c r="AC15" s="31"/>
    </row>
    <row r="16" spans="1:29">
      <c r="A16" s="26">
        <v>14</v>
      </c>
      <c r="B16" s="26">
        <v>20</v>
      </c>
      <c r="C16" s="26">
        <f t="shared" si="13"/>
        <v>273</v>
      </c>
      <c r="D16" s="26">
        <v>22</v>
      </c>
      <c r="E16" s="26">
        <f t="shared" si="13"/>
        <v>297</v>
      </c>
      <c r="F16" s="26">
        <v>24</v>
      </c>
      <c r="G16" s="26">
        <f t="shared" si="13"/>
        <v>495</v>
      </c>
      <c r="H16" s="26">
        <v>26</v>
      </c>
      <c r="I16" s="26">
        <f t="shared" si="13"/>
        <v>697</v>
      </c>
      <c r="J16" s="26">
        <v>28</v>
      </c>
      <c r="K16" s="26">
        <f t="shared" si="13"/>
        <v>950</v>
      </c>
      <c r="L16" s="26">
        <v>30</v>
      </c>
      <c r="M16" s="26">
        <f t="shared" si="7"/>
        <v>366</v>
      </c>
      <c r="N16" s="26">
        <v>30</v>
      </c>
      <c r="O16" s="26">
        <f t="shared" si="8"/>
        <v>547</v>
      </c>
      <c r="P16" s="26">
        <v>30</v>
      </c>
      <c r="Q16" s="26">
        <f t="shared" si="9"/>
        <v>586</v>
      </c>
      <c r="R16" s="26">
        <v>30</v>
      </c>
      <c r="S16" s="26">
        <f t="shared" si="10"/>
        <v>893</v>
      </c>
      <c r="T16" s="26">
        <v>0</v>
      </c>
      <c r="U16" s="26">
        <f t="shared" si="14"/>
        <v>9299</v>
      </c>
      <c r="V16" s="38">
        <f t="shared" si="6"/>
        <v>9299</v>
      </c>
      <c r="W16" s="26">
        <v>0</v>
      </c>
      <c r="X16" s="26"/>
      <c r="Z16" s="36">
        <v>0.14499999999999999</v>
      </c>
      <c r="AB16" s="33">
        <f t="shared" si="4"/>
        <v>8.0279999999999987</v>
      </c>
      <c r="AC16" s="31"/>
    </row>
    <row r="17" spans="1:29">
      <c r="A17" s="26">
        <v>15</v>
      </c>
      <c r="B17" s="26">
        <v>20</v>
      </c>
      <c r="C17" s="26">
        <f t="shared" si="13"/>
        <v>313</v>
      </c>
      <c r="D17" s="26">
        <v>22</v>
      </c>
      <c r="E17" s="26">
        <f t="shared" si="13"/>
        <v>341</v>
      </c>
      <c r="F17" s="26">
        <v>24</v>
      </c>
      <c r="G17" s="26">
        <f t="shared" si="13"/>
        <v>567</v>
      </c>
      <c r="H17" s="26">
        <v>26</v>
      </c>
      <c r="I17" s="26">
        <f t="shared" si="13"/>
        <v>799</v>
      </c>
      <c r="J17" s="26">
        <v>28</v>
      </c>
      <c r="K17" s="26">
        <f t="shared" si="13"/>
        <v>1088</v>
      </c>
      <c r="L17" s="26">
        <v>30</v>
      </c>
      <c r="M17" s="26">
        <f t="shared" si="0"/>
        <v>403</v>
      </c>
      <c r="N17" s="26">
        <v>30</v>
      </c>
      <c r="O17" s="26">
        <f t="shared" si="1"/>
        <v>602</v>
      </c>
      <c r="P17" s="26">
        <v>30</v>
      </c>
      <c r="Q17" s="26">
        <f t="shared" si="2"/>
        <v>645</v>
      </c>
      <c r="R17" s="26">
        <v>30</v>
      </c>
      <c r="S17" s="26">
        <f t="shared" si="3"/>
        <v>983</v>
      </c>
      <c r="T17" s="26">
        <v>0</v>
      </c>
      <c r="U17" s="26">
        <f t="shared" si="14"/>
        <v>10648</v>
      </c>
      <c r="V17" s="38">
        <f t="shared" si="6"/>
        <v>10648</v>
      </c>
      <c r="W17" s="26">
        <v>1</v>
      </c>
      <c r="X17" s="38">
        <f>V17*2</f>
        <v>21296</v>
      </c>
      <c r="Z17" s="25">
        <f>天赋设定!F69*20</f>
        <v>21960.174599999995</v>
      </c>
      <c r="AB17" s="33">
        <f t="shared" si="4"/>
        <v>9.2169999999999987</v>
      </c>
      <c r="AC17" s="31"/>
    </row>
    <row r="18" spans="1:29">
      <c r="A18" s="26">
        <v>16</v>
      </c>
      <c r="B18" s="26">
        <v>20</v>
      </c>
      <c r="C18" s="26">
        <f>ROUNDDOWN((天赋设定!F65*30)*0.7/$B$3,0)</f>
        <v>358</v>
      </c>
      <c r="D18" s="26">
        <v>22</v>
      </c>
      <c r="E18" s="26">
        <f>ROUNDDOWN((天赋设定!F66*30)*0.7/D18,0)</f>
        <v>380</v>
      </c>
      <c r="F18" s="26">
        <v>24</v>
      </c>
      <c r="G18" s="26">
        <f>ROUNDDOWN((天赋设定!F67*30)*0.7/$B$3,0)</f>
        <v>636</v>
      </c>
      <c r="H18" s="26">
        <v>26</v>
      </c>
      <c r="I18" s="26">
        <f>ROUNDDOWN((天赋设定!F68*30)*0.7/$B$3,0)</f>
        <v>845</v>
      </c>
      <c r="J18" s="26">
        <v>28</v>
      </c>
      <c r="K18" s="26">
        <f>ROUNDDOWN((天赋设定!F69*30)*0.7/$B$3,0)</f>
        <v>1152</v>
      </c>
      <c r="L18" s="26">
        <v>30</v>
      </c>
      <c r="M18" s="26">
        <f t="shared" ref="M18:M22" si="15">ROUNDUP(M17*(1+0.1),0)</f>
        <v>444</v>
      </c>
      <c r="N18" s="26">
        <v>30</v>
      </c>
      <c r="O18" s="26">
        <f t="shared" ref="O18:O22" si="16">ROUNDUP(O17*(1+0.1),0)</f>
        <v>663</v>
      </c>
      <c r="P18" s="26">
        <v>30</v>
      </c>
      <c r="Q18" s="26">
        <f t="shared" ref="Q18:Q22" si="17">ROUNDUP(Q17*(1+0.1),0)</f>
        <v>710</v>
      </c>
      <c r="R18" s="26">
        <v>30</v>
      </c>
      <c r="S18" s="26">
        <f t="shared" ref="S18:S22" si="18">ROUNDUP(S17*(1+0.1),0)</f>
        <v>1082</v>
      </c>
      <c r="T18" s="26">
        <v>2</v>
      </c>
      <c r="U18" s="26">
        <f>(K18*J18/2)*0.7</f>
        <v>11289.599999999999</v>
      </c>
      <c r="V18" s="38">
        <f t="shared" si="6"/>
        <v>11289</v>
      </c>
      <c r="W18" s="26">
        <v>0</v>
      </c>
      <c r="X18" s="26"/>
      <c r="AB18" s="34">
        <f t="shared" si="4"/>
        <v>10.270999999999999</v>
      </c>
      <c r="AC18" s="31"/>
    </row>
    <row r="19" spans="1:29">
      <c r="A19" s="26">
        <v>17</v>
      </c>
      <c r="B19" s="26">
        <v>20</v>
      </c>
      <c r="C19" s="26">
        <f>ROUNDUP(C18*(1+$Z$21),0)</f>
        <v>398</v>
      </c>
      <c r="D19" s="26">
        <v>22</v>
      </c>
      <c r="E19" s="26">
        <f>ROUNDUP(E18*(1+$Z$21),0)</f>
        <v>422</v>
      </c>
      <c r="F19" s="26">
        <v>24</v>
      </c>
      <c r="G19" s="26">
        <f>ROUNDUP(G18*(1+$Z$21),0)</f>
        <v>706</v>
      </c>
      <c r="H19" s="26">
        <v>26</v>
      </c>
      <c r="I19" s="26">
        <f>ROUNDUP(I18*(1+$Z$21),0)</f>
        <v>938</v>
      </c>
      <c r="J19" s="26">
        <v>28</v>
      </c>
      <c r="K19" s="26">
        <f>ROUNDUP(K18*(1+$Z$21),0)</f>
        <v>1279</v>
      </c>
      <c r="L19" s="26">
        <v>30</v>
      </c>
      <c r="M19" s="26">
        <f t="shared" si="15"/>
        <v>489</v>
      </c>
      <c r="N19" s="26">
        <v>30</v>
      </c>
      <c r="O19" s="26">
        <f t="shared" si="16"/>
        <v>730</v>
      </c>
      <c r="P19" s="26">
        <v>30</v>
      </c>
      <c r="Q19" s="26">
        <f t="shared" si="17"/>
        <v>781</v>
      </c>
      <c r="R19" s="26">
        <v>30</v>
      </c>
      <c r="S19" s="26">
        <f t="shared" si="18"/>
        <v>1191</v>
      </c>
      <c r="T19" s="26">
        <v>2</v>
      </c>
      <c r="U19" s="26">
        <f>ROUNDUP(U18*(1+$Z$21),0)</f>
        <v>12532</v>
      </c>
      <c r="V19" s="38">
        <f t="shared" si="6"/>
        <v>12532</v>
      </c>
      <c r="W19" s="26">
        <v>0</v>
      </c>
      <c r="X19" s="26"/>
      <c r="AB19" s="34">
        <f t="shared" si="4"/>
        <v>11.405999999999999</v>
      </c>
      <c r="AC19" s="31"/>
    </row>
    <row r="20" spans="1:29">
      <c r="A20" s="26">
        <v>18</v>
      </c>
      <c r="B20" s="26">
        <v>20</v>
      </c>
      <c r="C20" s="26">
        <f t="shared" ref="C20:K22" si="19">ROUNDUP(C19*(1+$Z$21),0)</f>
        <v>442</v>
      </c>
      <c r="D20" s="26">
        <v>22</v>
      </c>
      <c r="E20" s="26">
        <f t="shared" si="19"/>
        <v>469</v>
      </c>
      <c r="F20" s="26">
        <v>24</v>
      </c>
      <c r="G20" s="26">
        <f t="shared" si="19"/>
        <v>784</v>
      </c>
      <c r="H20" s="26">
        <v>26</v>
      </c>
      <c r="I20" s="26">
        <f t="shared" si="19"/>
        <v>1042</v>
      </c>
      <c r="J20" s="26">
        <v>28</v>
      </c>
      <c r="K20" s="26">
        <f t="shared" si="19"/>
        <v>1420</v>
      </c>
      <c r="L20" s="26">
        <v>30</v>
      </c>
      <c r="M20" s="26">
        <f t="shared" si="15"/>
        <v>538</v>
      </c>
      <c r="N20" s="26">
        <v>30</v>
      </c>
      <c r="O20" s="26">
        <f t="shared" si="16"/>
        <v>803</v>
      </c>
      <c r="P20" s="26">
        <v>30</v>
      </c>
      <c r="Q20" s="26">
        <f t="shared" si="17"/>
        <v>860</v>
      </c>
      <c r="R20" s="26">
        <v>30</v>
      </c>
      <c r="S20" s="26">
        <f t="shared" si="18"/>
        <v>1311</v>
      </c>
      <c r="T20" s="26">
        <v>2</v>
      </c>
      <c r="U20" s="26">
        <f t="shared" ref="U20:U22" si="20">ROUNDUP(U19*(1+$Z$21),0)</f>
        <v>13911</v>
      </c>
      <c r="V20" s="38">
        <f t="shared" si="6"/>
        <v>13911</v>
      </c>
      <c r="W20" s="26">
        <v>0</v>
      </c>
      <c r="X20" s="26"/>
      <c r="AB20" s="34">
        <f t="shared" si="4"/>
        <v>12.676</v>
      </c>
      <c r="AC20" s="31"/>
    </row>
    <row r="21" spans="1:29">
      <c r="A21" s="26">
        <v>19</v>
      </c>
      <c r="B21" s="26">
        <v>20</v>
      </c>
      <c r="C21" s="26">
        <f t="shared" si="19"/>
        <v>491</v>
      </c>
      <c r="D21" s="26">
        <v>22</v>
      </c>
      <c r="E21" s="26">
        <f t="shared" si="19"/>
        <v>521</v>
      </c>
      <c r="F21" s="26">
        <v>24</v>
      </c>
      <c r="G21" s="26">
        <f t="shared" si="19"/>
        <v>871</v>
      </c>
      <c r="H21" s="26">
        <v>26</v>
      </c>
      <c r="I21" s="26">
        <f t="shared" si="19"/>
        <v>1157</v>
      </c>
      <c r="J21" s="26">
        <v>28</v>
      </c>
      <c r="K21" s="26">
        <f t="shared" si="19"/>
        <v>1577</v>
      </c>
      <c r="L21" s="26">
        <v>30</v>
      </c>
      <c r="M21" s="26">
        <f t="shared" si="15"/>
        <v>592</v>
      </c>
      <c r="N21" s="26">
        <v>30</v>
      </c>
      <c r="O21" s="26">
        <f t="shared" si="16"/>
        <v>884</v>
      </c>
      <c r="P21" s="26">
        <v>30</v>
      </c>
      <c r="Q21" s="26">
        <f t="shared" si="17"/>
        <v>946</v>
      </c>
      <c r="R21" s="26">
        <v>30</v>
      </c>
      <c r="S21" s="26">
        <f t="shared" si="18"/>
        <v>1443</v>
      </c>
      <c r="T21" s="26">
        <v>2</v>
      </c>
      <c r="U21" s="26">
        <f t="shared" si="20"/>
        <v>15442</v>
      </c>
      <c r="V21" s="38">
        <f t="shared" si="6"/>
        <v>15442</v>
      </c>
      <c r="W21" s="26">
        <v>0</v>
      </c>
      <c r="X21" s="26"/>
      <c r="Z21" s="36">
        <v>0.11</v>
      </c>
      <c r="AB21" s="34">
        <f t="shared" si="4"/>
        <v>14.081999999999999</v>
      </c>
      <c r="AC21" s="31"/>
    </row>
    <row r="22" spans="1:29">
      <c r="A22" s="26">
        <v>20</v>
      </c>
      <c r="B22" s="26">
        <v>20</v>
      </c>
      <c r="C22" s="26">
        <f t="shared" si="19"/>
        <v>546</v>
      </c>
      <c r="D22" s="26">
        <v>22</v>
      </c>
      <c r="E22" s="26">
        <f t="shared" si="19"/>
        <v>579</v>
      </c>
      <c r="F22" s="26">
        <v>24</v>
      </c>
      <c r="G22" s="26">
        <f t="shared" si="19"/>
        <v>967</v>
      </c>
      <c r="H22" s="26">
        <v>26</v>
      </c>
      <c r="I22" s="26">
        <f t="shared" si="19"/>
        <v>1285</v>
      </c>
      <c r="J22" s="26">
        <v>28</v>
      </c>
      <c r="K22" s="26">
        <f t="shared" si="19"/>
        <v>1751</v>
      </c>
      <c r="L22" s="26">
        <v>30</v>
      </c>
      <c r="M22" s="26">
        <f t="shared" si="15"/>
        <v>652</v>
      </c>
      <c r="N22" s="26">
        <v>30</v>
      </c>
      <c r="O22" s="26">
        <f t="shared" si="16"/>
        <v>973</v>
      </c>
      <c r="P22" s="26">
        <v>30</v>
      </c>
      <c r="Q22" s="26">
        <f t="shared" si="17"/>
        <v>1041</v>
      </c>
      <c r="R22" s="26">
        <v>30</v>
      </c>
      <c r="S22" s="26">
        <f t="shared" si="18"/>
        <v>1588</v>
      </c>
      <c r="T22" s="26">
        <v>0</v>
      </c>
      <c r="U22" s="26">
        <f t="shared" si="20"/>
        <v>17141</v>
      </c>
      <c r="V22" s="38">
        <f t="shared" si="6"/>
        <v>17141</v>
      </c>
      <c r="W22" s="26">
        <v>1</v>
      </c>
      <c r="X22" s="38">
        <f>V22*2</f>
        <v>34282</v>
      </c>
      <c r="Z22" s="25">
        <f>天赋设定!G69*20</f>
        <v>34861.135373999998</v>
      </c>
      <c r="AB22" s="34">
        <f t="shared" si="4"/>
        <v>15.648999999999999</v>
      </c>
      <c r="AC22" s="31"/>
    </row>
    <row r="23" spans="1:29">
      <c r="A23" s="26">
        <v>21</v>
      </c>
      <c r="B23" s="26">
        <v>20</v>
      </c>
      <c r="C23" s="26">
        <f>ROUNDDOWN((天赋设定!G65*30)*0.7/$B$3,0)</f>
        <v>588</v>
      </c>
      <c r="D23" s="26">
        <v>22</v>
      </c>
      <c r="E23" s="26">
        <f>ROUNDDOWN((天赋设定!G66*30)*0.7/D23,0)</f>
        <v>619</v>
      </c>
      <c r="F23" s="26">
        <v>24</v>
      </c>
      <c r="G23" s="26">
        <f>ROUNDDOWN((天赋设定!G67*30)*0.7/$B$3,0)</f>
        <v>1034</v>
      </c>
      <c r="H23" s="26">
        <v>26</v>
      </c>
      <c r="I23" s="26">
        <f>ROUNDDOWN((天赋设定!G68*30)*0.7/$B$3,0)</f>
        <v>1342</v>
      </c>
      <c r="J23" s="26">
        <v>28</v>
      </c>
      <c r="K23" s="26">
        <f>ROUNDDOWN((天赋设定!G69*30)*0.7/$B$3,0)</f>
        <v>1830</v>
      </c>
      <c r="L23" s="26">
        <v>30</v>
      </c>
      <c r="M23" s="26">
        <f t="shared" ref="M23:M27" si="21">ROUNDUP(M22*(1+0.1),0)</f>
        <v>718</v>
      </c>
      <c r="N23" s="26">
        <v>30</v>
      </c>
      <c r="O23" s="26">
        <f t="shared" ref="O23:O27" si="22">ROUNDUP(O22*(1+0.1),0)</f>
        <v>1071</v>
      </c>
      <c r="P23" s="26">
        <v>30</v>
      </c>
      <c r="Q23" s="26">
        <f t="shared" ref="Q23:Q27" si="23">ROUNDUP(Q22*(1+0.1),0)</f>
        <v>1146</v>
      </c>
      <c r="R23" s="26">
        <v>30</v>
      </c>
      <c r="S23" s="26">
        <f t="shared" ref="S23:S27" si="24">ROUNDUP(S22*(1+0.1),0)</f>
        <v>1747</v>
      </c>
      <c r="T23" s="26">
        <v>2</v>
      </c>
      <c r="U23" s="26">
        <f>(K23*J23/2)*0.7</f>
        <v>17934</v>
      </c>
      <c r="V23" s="38">
        <f t="shared" si="6"/>
        <v>17934</v>
      </c>
      <c r="W23" s="26">
        <v>0</v>
      </c>
      <c r="X23" s="26"/>
      <c r="AB23" s="35">
        <f t="shared" si="4"/>
        <v>16.73</v>
      </c>
      <c r="AC23" s="31"/>
    </row>
    <row r="24" spans="1:29">
      <c r="A24" s="26">
        <v>22</v>
      </c>
      <c r="B24" s="26">
        <v>20</v>
      </c>
      <c r="C24" s="26">
        <f>ROUNDUP(C23*(1+$Z$26),0)</f>
        <v>671</v>
      </c>
      <c r="D24" s="26">
        <v>22</v>
      </c>
      <c r="E24" s="26">
        <f>ROUNDUP(E23*(1+$Z$26),0)</f>
        <v>706</v>
      </c>
      <c r="F24" s="26">
        <v>24</v>
      </c>
      <c r="G24" s="26">
        <f>ROUNDUP(G23*(1+$Z$26),0)</f>
        <v>1179</v>
      </c>
      <c r="H24" s="26">
        <v>26</v>
      </c>
      <c r="I24" s="26">
        <f>ROUNDUP(I23*(1+$Z$26),0)</f>
        <v>1530</v>
      </c>
      <c r="J24" s="26">
        <v>28</v>
      </c>
      <c r="K24" s="26">
        <f>ROUNDUP(K23*(1+$Z$26),0)</f>
        <v>2087</v>
      </c>
      <c r="L24" s="26">
        <v>30</v>
      </c>
      <c r="M24" s="26">
        <f t="shared" si="21"/>
        <v>790</v>
      </c>
      <c r="N24" s="26">
        <v>30</v>
      </c>
      <c r="O24" s="26">
        <f t="shared" si="22"/>
        <v>1179</v>
      </c>
      <c r="P24" s="26">
        <v>30</v>
      </c>
      <c r="Q24" s="26">
        <f t="shared" si="23"/>
        <v>1261</v>
      </c>
      <c r="R24" s="26">
        <v>30</v>
      </c>
      <c r="S24" s="26">
        <f t="shared" si="24"/>
        <v>1922</v>
      </c>
      <c r="T24" s="26">
        <v>2</v>
      </c>
      <c r="U24" s="26">
        <f>ROUNDUP(U23*(1+$Z$26),0)</f>
        <v>20445</v>
      </c>
      <c r="V24" s="38">
        <f t="shared" si="6"/>
        <v>20445</v>
      </c>
      <c r="W24" s="26">
        <v>0</v>
      </c>
      <c r="X24" s="26"/>
      <c r="AB24" s="35">
        <f t="shared" si="4"/>
        <v>19.082000000000001</v>
      </c>
      <c r="AC24" s="31"/>
    </row>
    <row r="25" spans="1:29">
      <c r="A25" s="26">
        <v>23</v>
      </c>
      <c r="B25" s="26">
        <v>20</v>
      </c>
      <c r="C25" s="26">
        <f t="shared" ref="C25:K27" si="25">ROUNDUP(C24*(1+$Z$26),0)</f>
        <v>765</v>
      </c>
      <c r="D25" s="26">
        <v>22</v>
      </c>
      <c r="E25" s="26">
        <f t="shared" si="25"/>
        <v>805</v>
      </c>
      <c r="F25" s="26">
        <v>24</v>
      </c>
      <c r="G25" s="26">
        <f t="shared" si="25"/>
        <v>1345</v>
      </c>
      <c r="H25" s="26">
        <v>26</v>
      </c>
      <c r="I25" s="26">
        <f t="shared" si="25"/>
        <v>1745</v>
      </c>
      <c r="J25" s="26">
        <v>28</v>
      </c>
      <c r="K25" s="26">
        <f t="shared" si="25"/>
        <v>2380</v>
      </c>
      <c r="L25" s="26">
        <v>30</v>
      </c>
      <c r="M25" s="26">
        <f t="shared" si="21"/>
        <v>869</v>
      </c>
      <c r="N25" s="26">
        <v>30</v>
      </c>
      <c r="O25" s="26">
        <f t="shared" si="22"/>
        <v>1297</v>
      </c>
      <c r="P25" s="26">
        <v>30</v>
      </c>
      <c r="Q25" s="26">
        <f t="shared" si="23"/>
        <v>1388</v>
      </c>
      <c r="R25" s="26">
        <v>30</v>
      </c>
      <c r="S25" s="26">
        <f t="shared" si="24"/>
        <v>2115</v>
      </c>
      <c r="T25" s="26">
        <v>2</v>
      </c>
      <c r="U25" s="26">
        <f t="shared" ref="U25:U27" si="26">ROUNDUP(U24*(1+$Z$26),0)</f>
        <v>23308</v>
      </c>
      <c r="V25" s="38">
        <f t="shared" si="6"/>
        <v>23308</v>
      </c>
      <c r="W25" s="26">
        <v>0</v>
      </c>
      <c r="X25" s="26"/>
      <c r="AB25" s="35">
        <f t="shared" si="4"/>
        <v>21.757000000000001</v>
      </c>
      <c r="AC25" s="31"/>
    </row>
    <row r="26" spans="1:29">
      <c r="A26" s="26">
        <v>24</v>
      </c>
      <c r="B26" s="26">
        <v>20</v>
      </c>
      <c r="C26" s="26">
        <f t="shared" si="25"/>
        <v>873</v>
      </c>
      <c r="D26" s="26">
        <v>22</v>
      </c>
      <c r="E26" s="26">
        <f t="shared" si="25"/>
        <v>918</v>
      </c>
      <c r="F26" s="26">
        <v>24</v>
      </c>
      <c r="G26" s="26">
        <f t="shared" si="25"/>
        <v>1534</v>
      </c>
      <c r="H26" s="26">
        <v>26</v>
      </c>
      <c r="I26" s="26">
        <f t="shared" si="25"/>
        <v>1990</v>
      </c>
      <c r="J26" s="26">
        <v>28</v>
      </c>
      <c r="K26" s="26">
        <f t="shared" si="25"/>
        <v>2714</v>
      </c>
      <c r="L26" s="26">
        <v>30</v>
      </c>
      <c r="M26" s="26">
        <f t="shared" si="21"/>
        <v>956</v>
      </c>
      <c r="N26" s="26">
        <v>30</v>
      </c>
      <c r="O26" s="26">
        <f t="shared" si="22"/>
        <v>1427</v>
      </c>
      <c r="P26" s="26">
        <v>30</v>
      </c>
      <c r="Q26" s="26">
        <f t="shared" si="23"/>
        <v>1527</v>
      </c>
      <c r="R26" s="26">
        <v>30</v>
      </c>
      <c r="S26" s="26">
        <f t="shared" si="24"/>
        <v>2327</v>
      </c>
      <c r="T26" s="26">
        <v>2</v>
      </c>
      <c r="U26" s="26">
        <f t="shared" si="26"/>
        <v>26572</v>
      </c>
      <c r="V26" s="38">
        <f t="shared" si="6"/>
        <v>26572</v>
      </c>
      <c r="W26" s="26">
        <v>0</v>
      </c>
      <c r="X26" s="26"/>
      <c r="Z26" s="36">
        <v>0.14000000000000001</v>
      </c>
      <c r="AB26" s="35">
        <f t="shared" si="4"/>
        <v>24.811</v>
      </c>
      <c r="AC26" s="31"/>
    </row>
    <row r="27" spans="1:29">
      <c r="A27" s="26">
        <v>25</v>
      </c>
      <c r="B27" s="26">
        <v>20</v>
      </c>
      <c r="C27" s="26">
        <f t="shared" si="25"/>
        <v>996</v>
      </c>
      <c r="D27" s="26">
        <v>22</v>
      </c>
      <c r="E27" s="26">
        <f t="shared" si="25"/>
        <v>1047</v>
      </c>
      <c r="F27" s="26">
        <v>24</v>
      </c>
      <c r="G27" s="26">
        <f t="shared" si="25"/>
        <v>1749</v>
      </c>
      <c r="H27" s="26">
        <v>26</v>
      </c>
      <c r="I27" s="26">
        <f t="shared" si="25"/>
        <v>2269</v>
      </c>
      <c r="J27" s="26">
        <v>28</v>
      </c>
      <c r="K27" s="26">
        <f t="shared" si="25"/>
        <v>3094</v>
      </c>
      <c r="L27" s="26">
        <v>30</v>
      </c>
      <c r="M27" s="26">
        <f t="shared" si="21"/>
        <v>1052</v>
      </c>
      <c r="N27" s="26">
        <v>30</v>
      </c>
      <c r="O27" s="26">
        <f t="shared" si="22"/>
        <v>1570</v>
      </c>
      <c r="P27" s="26">
        <v>30</v>
      </c>
      <c r="Q27" s="26">
        <f t="shared" si="23"/>
        <v>1680</v>
      </c>
      <c r="R27" s="26">
        <v>30</v>
      </c>
      <c r="S27" s="26">
        <f t="shared" si="24"/>
        <v>2560</v>
      </c>
      <c r="T27" s="26">
        <v>0</v>
      </c>
      <c r="U27" s="26">
        <f t="shared" si="26"/>
        <v>30293</v>
      </c>
      <c r="V27" s="38">
        <f t="shared" si="6"/>
        <v>30293</v>
      </c>
      <c r="W27" s="26">
        <v>1</v>
      </c>
      <c r="X27" s="38">
        <f>V27*2</f>
        <v>60586</v>
      </c>
      <c r="Z27" s="25">
        <f>天赋设定!H69*20</f>
        <v>61199.81827199999</v>
      </c>
      <c r="AB27" s="35">
        <f t="shared" si="4"/>
        <v>28.298000000000002</v>
      </c>
      <c r="AC27" s="31"/>
    </row>
  </sheetData>
  <mergeCells count="10">
    <mergeCell ref="B1:C1"/>
    <mergeCell ref="N1:O1"/>
    <mergeCell ref="R1:S1"/>
    <mergeCell ref="T1:X1"/>
    <mergeCell ref="D1:E1"/>
    <mergeCell ref="H1:I1"/>
    <mergeCell ref="L1:M1"/>
    <mergeCell ref="J1:K1"/>
    <mergeCell ref="P1:Q1"/>
    <mergeCell ref="F1:G1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4"/>
  <sheetViews>
    <sheetView workbookViewId="0">
      <selection activeCell="M69" sqref="M69"/>
    </sheetView>
  </sheetViews>
  <sheetFormatPr defaultRowHeight="14.25"/>
  <cols>
    <col min="1" max="1" width="11.75" style="25" bestFit="1" customWidth="1"/>
    <col min="4" max="4" width="10" style="25" customWidth="1"/>
    <col min="5" max="5" width="13" style="25" bestFit="1" customWidth="1"/>
    <col min="6" max="6" width="11" style="25" customWidth="1"/>
    <col min="7" max="7" width="13" style="25" bestFit="1" customWidth="1"/>
  </cols>
  <sheetData>
    <row r="1" spans="1:12">
      <c r="A1" s="26" t="s">
        <v>96</v>
      </c>
      <c r="B1" s="26" t="s">
        <v>97</v>
      </c>
      <c r="C1" s="26" t="s">
        <v>98</v>
      </c>
      <c r="D1" s="26" t="s">
        <v>99</v>
      </c>
      <c r="E1" s="26" t="s">
        <v>100</v>
      </c>
      <c r="F1" s="26" t="s">
        <v>94</v>
      </c>
      <c r="G1" s="26" t="s">
        <v>95</v>
      </c>
    </row>
    <row r="2" spans="1:12">
      <c r="A2" s="26">
        <v>1</v>
      </c>
      <c r="B2" s="26">
        <v>30</v>
      </c>
      <c r="C2">
        <v>12</v>
      </c>
    </row>
    <row r="3" spans="1:12">
      <c r="A3" s="26">
        <v>2</v>
      </c>
      <c r="B3" s="26">
        <v>30</v>
      </c>
      <c r="C3">
        <f t="shared" ref="C3:C34" si="0">ROUNDUP($C$2*(1+0.1)^(A3-1),0)</f>
        <v>14</v>
      </c>
    </row>
    <row r="4" spans="1:12">
      <c r="A4" s="26">
        <v>3</v>
      </c>
      <c r="B4" s="26">
        <v>30</v>
      </c>
      <c r="C4">
        <f t="shared" si="0"/>
        <v>15</v>
      </c>
    </row>
    <row r="5" spans="1:12">
      <c r="A5" s="26">
        <v>4</v>
      </c>
      <c r="B5" s="26">
        <v>30</v>
      </c>
      <c r="C5">
        <f t="shared" si="0"/>
        <v>16</v>
      </c>
    </row>
    <row r="6" spans="1:12">
      <c r="A6" s="26">
        <v>5</v>
      </c>
      <c r="B6" s="26">
        <v>30</v>
      </c>
      <c r="C6">
        <f t="shared" si="0"/>
        <v>18</v>
      </c>
      <c r="D6">
        <v>2</v>
      </c>
      <c r="E6">
        <f>ROUNDDOWN(C6*B6/2,0)</f>
        <v>270</v>
      </c>
    </row>
    <row r="7" spans="1:12">
      <c r="A7" s="26">
        <v>6</v>
      </c>
      <c r="B7" s="26">
        <v>30</v>
      </c>
      <c r="C7">
        <f t="shared" si="0"/>
        <v>20</v>
      </c>
    </row>
    <row r="8" spans="1:12">
      <c r="A8" s="26">
        <v>7</v>
      </c>
      <c r="B8" s="26">
        <v>30</v>
      </c>
      <c r="C8">
        <f t="shared" si="0"/>
        <v>22</v>
      </c>
    </row>
    <row r="9" spans="1:12">
      <c r="A9" s="26">
        <v>8</v>
      </c>
      <c r="B9" s="26">
        <v>30</v>
      </c>
      <c r="C9">
        <f t="shared" si="0"/>
        <v>24</v>
      </c>
    </row>
    <row r="10" spans="1:12">
      <c r="A10" s="26">
        <v>9</v>
      </c>
      <c r="B10" s="26">
        <v>30</v>
      </c>
      <c r="C10">
        <f t="shared" si="0"/>
        <v>26</v>
      </c>
    </row>
    <row r="11" spans="1:12">
      <c r="A11" s="26">
        <v>10</v>
      </c>
      <c r="B11" s="26">
        <v>30</v>
      </c>
      <c r="C11">
        <f t="shared" si="0"/>
        <v>29</v>
      </c>
      <c r="F11">
        <v>1</v>
      </c>
      <c r="G11">
        <f>C11*B11</f>
        <v>870</v>
      </c>
    </row>
    <row r="12" spans="1:12">
      <c r="A12" s="26">
        <v>11</v>
      </c>
      <c r="B12" s="26">
        <v>30</v>
      </c>
      <c r="C12">
        <f t="shared" si="0"/>
        <v>32</v>
      </c>
    </row>
    <row r="13" spans="1:12">
      <c r="A13" s="26">
        <v>12</v>
      </c>
      <c r="B13" s="26">
        <v>30</v>
      </c>
      <c r="C13">
        <f t="shared" si="0"/>
        <v>35</v>
      </c>
    </row>
    <row r="14" spans="1:12">
      <c r="A14" s="26">
        <v>13</v>
      </c>
      <c r="B14" s="26">
        <v>30</v>
      </c>
      <c r="C14">
        <f t="shared" si="0"/>
        <v>38</v>
      </c>
    </row>
    <row r="15" spans="1:12">
      <c r="A15" s="26">
        <v>14</v>
      </c>
      <c r="B15" s="26">
        <v>30</v>
      </c>
      <c r="C15">
        <f t="shared" si="0"/>
        <v>42</v>
      </c>
      <c r="L15" t="s">
        <v>101</v>
      </c>
    </row>
    <row r="16" spans="1:12">
      <c r="A16" s="26">
        <v>15</v>
      </c>
      <c r="B16" s="26">
        <v>30</v>
      </c>
      <c r="C16">
        <f t="shared" si="0"/>
        <v>46</v>
      </c>
      <c r="D16">
        <v>2</v>
      </c>
      <c r="E16">
        <f>ROUNDDOWN(C16*B16/2,0)</f>
        <v>690</v>
      </c>
    </row>
    <row r="17" spans="1:7">
      <c r="A17" s="26">
        <v>16</v>
      </c>
      <c r="B17" s="26">
        <v>30</v>
      </c>
      <c r="C17">
        <f t="shared" si="0"/>
        <v>51</v>
      </c>
    </row>
    <row r="18" spans="1:7">
      <c r="A18" s="26">
        <v>17</v>
      </c>
      <c r="B18" s="26">
        <v>30</v>
      </c>
      <c r="C18">
        <f t="shared" si="0"/>
        <v>56</v>
      </c>
    </row>
    <row r="19" spans="1:7">
      <c r="A19" s="26">
        <v>18</v>
      </c>
      <c r="B19" s="26">
        <v>30</v>
      </c>
      <c r="C19">
        <f t="shared" si="0"/>
        <v>61</v>
      </c>
    </row>
    <row r="20" spans="1:7">
      <c r="A20" s="26">
        <v>19</v>
      </c>
      <c r="B20" s="26">
        <v>30</v>
      </c>
      <c r="C20">
        <f t="shared" si="0"/>
        <v>67</v>
      </c>
    </row>
    <row r="21" spans="1:7">
      <c r="A21" s="26">
        <v>20</v>
      </c>
      <c r="B21" s="26">
        <v>30</v>
      </c>
      <c r="C21">
        <f t="shared" si="0"/>
        <v>74</v>
      </c>
      <c r="F21">
        <v>1</v>
      </c>
      <c r="G21">
        <f>C21*B21</f>
        <v>2220</v>
      </c>
    </row>
    <row r="22" spans="1:7">
      <c r="A22" s="26">
        <v>21</v>
      </c>
      <c r="B22" s="26">
        <v>30</v>
      </c>
      <c r="C22">
        <f t="shared" si="0"/>
        <v>81</v>
      </c>
    </row>
    <row r="23" spans="1:7">
      <c r="A23" s="26">
        <v>22</v>
      </c>
      <c r="B23" s="26">
        <v>30</v>
      </c>
      <c r="C23">
        <f t="shared" si="0"/>
        <v>89</v>
      </c>
    </row>
    <row r="24" spans="1:7">
      <c r="A24" s="26">
        <v>23</v>
      </c>
      <c r="B24" s="26">
        <v>30</v>
      </c>
      <c r="C24">
        <f t="shared" si="0"/>
        <v>98</v>
      </c>
    </row>
    <row r="25" spans="1:7">
      <c r="A25" s="26">
        <v>24</v>
      </c>
      <c r="B25" s="26">
        <v>30</v>
      </c>
      <c r="C25">
        <f t="shared" si="0"/>
        <v>108</v>
      </c>
    </row>
    <row r="26" spans="1:7">
      <c r="A26" s="26">
        <v>25</v>
      </c>
      <c r="B26" s="26">
        <v>30</v>
      </c>
      <c r="C26">
        <f t="shared" si="0"/>
        <v>119</v>
      </c>
      <c r="D26">
        <v>2</v>
      </c>
      <c r="E26">
        <f>ROUNDDOWN(C26*B26/2,0)</f>
        <v>1785</v>
      </c>
    </row>
    <row r="27" spans="1:7">
      <c r="A27" s="26">
        <v>26</v>
      </c>
      <c r="B27" s="26">
        <v>30</v>
      </c>
      <c r="C27">
        <f t="shared" si="0"/>
        <v>131</v>
      </c>
    </row>
    <row r="28" spans="1:7">
      <c r="A28" s="26">
        <v>27</v>
      </c>
      <c r="B28" s="26">
        <v>30</v>
      </c>
      <c r="C28">
        <f t="shared" si="0"/>
        <v>144</v>
      </c>
    </row>
    <row r="29" spans="1:7">
      <c r="A29" s="26">
        <v>28</v>
      </c>
      <c r="B29" s="26">
        <v>30</v>
      </c>
      <c r="C29">
        <f t="shared" si="0"/>
        <v>158</v>
      </c>
    </row>
    <row r="30" spans="1:7">
      <c r="A30" s="26">
        <v>29</v>
      </c>
      <c r="B30" s="26">
        <v>30</v>
      </c>
      <c r="C30">
        <f t="shared" si="0"/>
        <v>174</v>
      </c>
    </row>
    <row r="31" spans="1:7">
      <c r="A31" s="26">
        <v>30</v>
      </c>
      <c r="B31" s="26">
        <v>30</v>
      </c>
      <c r="C31">
        <f t="shared" si="0"/>
        <v>191</v>
      </c>
      <c r="F31">
        <v>1</v>
      </c>
      <c r="G31">
        <f>C31*B31</f>
        <v>5730</v>
      </c>
    </row>
    <row r="32" spans="1:7">
      <c r="A32" s="26">
        <v>31</v>
      </c>
      <c r="B32" s="26">
        <v>30</v>
      </c>
      <c r="C32">
        <f t="shared" si="0"/>
        <v>210</v>
      </c>
    </row>
    <row r="33" spans="1:7">
      <c r="A33" s="26">
        <v>32</v>
      </c>
      <c r="B33" s="26">
        <v>30</v>
      </c>
      <c r="C33">
        <f t="shared" si="0"/>
        <v>231</v>
      </c>
    </row>
    <row r="34" spans="1:7">
      <c r="A34" s="26">
        <v>33</v>
      </c>
      <c r="B34" s="26">
        <v>30</v>
      </c>
      <c r="C34">
        <f t="shared" si="0"/>
        <v>254</v>
      </c>
    </row>
    <row r="35" spans="1:7">
      <c r="A35" s="26">
        <v>34</v>
      </c>
      <c r="B35" s="26">
        <v>30</v>
      </c>
      <c r="C35">
        <f t="shared" ref="C35:C66" si="1">ROUNDUP($C$2*(1+0.1)^(A35-1),0)</f>
        <v>279</v>
      </c>
    </row>
    <row r="36" spans="1:7">
      <c r="A36" s="26">
        <v>35</v>
      </c>
      <c r="B36" s="26">
        <v>30</v>
      </c>
      <c r="C36">
        <f t="shared" si="1"/>
        <v>307</v>
      </c>
      <c r="D36">
        <v>2</v>
      </c>
      <c r="E36">
        <f>ROUNDDOWN(C36*B36/2,0)</f>
        <v>4605</v>
      </c>
    </row>
    <row r="37" spans="1:7">
      <c r="A37" s="26">
        <v>36</v>
      </c>
      <c r="B37" s="26">
        <v>30</v>
      </c>
      <c r="C37">
        <f t="shared" si="1"/>
        <v>338</v>
      </c>
    </row>
    <row r="38" spans="1:7">
      <c r="A38" s="26">
        <v>37</v>
      </c>
      <c r="B38" s="26">
        <v>30</v>
      </c>
      <c r="C38">
        <f t="shared" si="1"/>
        <v>371</v>
      </c>
    </row>
    <row r="39" spans="1:7">
      <c r="A39" s="26">
        <v>38</v>
      </c>
      <c r="B39" s="26">
        <v>30</v>
      </c>
      <c r="C39">
        <f t="shared" si="1"/>
        <v>409</v>
      </c>
    </row>
    <row r="40" spans="1:7">
      <c r="A40" s="26">
        <v>39</v>
      </c>
      <c r="B40" s="26">
        <v>30</v>
      </c>
      <c r="C40">
        <f t="shared" si="1"/>
        <v>449</v>
      </c>
    </row>
    <row r="41" spans="1:7">
      <c r="A41" s="26">
        <v>40</v>
      </c>
      <c r="B41" s="26">
        <v>30</v>
      </c>
      <c r="C41">
        <f t="shared" si="1"/>
        <v>494</v>
      </c>
      <c r="F41">
        <v>1</v>
      </c>
      <c r="G41">
        <f>C41*B41</f>
        <v>14820</v>
      </c>
    </row>
    <row r="42" spans="1:7">
      <c r="A42" s="26">
        <v>41</v>
      </c>
      <c r="B42" s="26">
        <v>30</v>
      </c>
      <c r="C42">
        <f t="shared" si="1"/>
        <v>544</v>
      </c>
    </row>
    <row r="43" spans="1:7">
      <c r="A43" s="26">
        <v>42</v>
      </c>
      <c r="B43" s="26">
        <v>30</v>
      </c>
      <c r="C43">
        <f t="shared" si="1"/>
        <v>598</v>
      </c>
    </row>
    <row r="44" spans="1:7">
      <c r="A44" s="26">
        <v>43</v>
      </c>
      <c r="B44" s="26">
        <v>30</v>
      </c>
      <c r="C44">
        <f t="shared" si="1"/>
        <v>658</v>
      </c>
    </row>
    <row r="45" spans="1:7">
      <c r="A45" s="26">
        <v>44</v>
      </c>
      <c r="B45" s="26">
        <v>30</v>
      </c>
      <c r="C45">
        <f t="shared" si="1"/>
        <v>723</v>
      </c>
    </row>
    <row r="46" spans="1:7">
      <c r="A46" s="26">
        <v>45</v>
      </c>
      <c r="B46" s="26">
        <v>30</v>
      </c>
      <c r="C46">
        <f t="shared" si="1"/>
        <v>796</v>
      </c>
      <c r="D46">
        <v>2</v>
      </c>
      <c r="E46">
        <f>ROUNDDOWN(C46*B46/2,0)</f>
        <v>11940</v>
      </c>
    </row>
    <row r="47" spans="1:7">
      <c r="A47" s="26">
        <v>46</v>
      </c>
      <c r="B47" s="26">
        <v>30</v>
      </c>
      <c r="C47">
        <f t="shared" si="1"/>
        <v>875</v>
      </c>
    </row>
    <row r="48" spans="1:7">
      <c r="A48" s="26">
        <v>47</v>
      </c>
      <c r="B48" s="26">
        <v>30</v>
      </c>
      <c r="C48">
        <f t="shared" si="1"/>
        <v>963</v>
      </c>
    </row>
    <row r="49" spans="1:13">
      <c r="A49" s="26">
        <v>48</v>
      </c>
      <c r="B49" s="26">
        <v>30</v>
      </c>
      <c r="C49">
        <f t="shared" si="1"/>
        <v>1059</v>
      </c>
    </row>
    <row r="50" spans="1:13">
      <c r="A50" s="26">
        <v>49</v>
      </c>
      <c r="B50" s="26">
        <v>30</v>
      </c>
      <c r="C50">
        <f t="shared" si="1"/>
        <v>1165</v>
      </c>
    </row>
    <row r="51" spans="1:13">
      <c r="A51" s="26">
        <v>50</v>
      </c>
      <c r="B51" s="26">
        <v>30</v>
      </c>
      <c r="C51">
        <f t="shared" si="1"/>
        <v>1281</v>
      </c>
      <c r="F51">
        <v>1</v>
      </c>
      <c r="G51">
        <f>C51*B51</f>
        <v>38430</v>
      </c>
      <c r="L51" t="s">
        <v>102</v>
      </c>
    </row>
    <row r="52" spans="1:13">
      <c r="A52" s="26">
        <v>51</v>
      </c>
      <c r="B52" s="26">
        <v>30</v>
      </c>
      <c r="C52">
        <f t="shared" si="1"/>
        <v>1409</v>
      </c>
    </row>
    <row r="53" spans="1:13">
      <c r="A53" s="26">
        <v>52</v>
      </c>
      <c r="B53" s="26">
        <v>30</v>
      </c>
      <c r="C53">
        <f t="shared" si="1"/>
        <v>1550</v>
      </c>
    </row>
    <row r="54" spans="1:13">
      <c r="A54" s="26">
        <v>53</v>
      </c>
      <c r="B54" s="26">
        <v>30</v>
      </c>
      <c r="C54">
        <f t="shared" si="1"/>
        <v>1705</v>
      </c>
    </row>
    <row r="55" spans="1:13">
      <c r="A55" s="26">
        <v>54</v>
      </c>
      <c r="B55" s="26">
        <v>30</v>
      </c>
      <c r="C55">
        <f t="shared" si="1"/>
        <v>1875</v>
      </c>
    </row>
    <row r="56" spans="1:13">
      <c r="A56" s="26">
        <v>55</v>
      </c>
      <c r="B56" s="26">
        <v>30</v>
      </c>
      <c r="C56">
        <f t="shared" si="1"/>
        <v>2063</v>
      </c>
      <c r="D56">
        <v>2</v>
      </c>
      <c r="E56">
        <f>ROUNDDOWN(C56*B56/2,0)</f>
        <v>30945</v>
      </c>
    </row>
    <row r="57" spans="1:13">
      <c r="A57" s="26">
        <v>56</v>
      </c>
      <c r="B57" s="26">
        <v>30</v>
      </c>
      <c r="C57">
        <f t="shared" si="1"/>
        <v>2269</v>
      </c>
    </row>
    <row r="58" spans="1:13">
      <c r="A58" s="26">
        <v>57</v>
      </c>
      <c r="B58" s="26">
        <v>30</v>
      </c>
      <c r="C58">
        <f t="shared" si="1"/>
        <v>2496</v>
      </c>
    </row>
    <row r="59" spans="1:13">
      <c r="A59" s="26">
        <v>58</v>
      </c>
      <c r="B59" s="26">
        <v>30</v>
      </c>
      <c r="C59">
        <f t="shared" si="1"/>
        <v>2746</v>
      </c>
    </row>
    <row r="60" spans="1:13">
      <c r="A60" s="26">
        <v>59</v>
      </c>
      <c r="B60" s="26">
        <v>30</v>
      </c>
      <c r="C60">
        <f t="shared" si="1"/>
        <v>3020</v>
      </c>
    </row>
    <row r="61" spans="1:13">
      <c r="A61" s="26">
        <v>60</v>
      </c>
      <c r="B61" s="26">
        <v>30</v>
      </c>
      <c r="C61">
        <f t="shared" si="1"/>
        <v>3322</v>
      </c>
      <c r="F61">
        <v>1</v>
      </c>
      <c r="G61">
        <f>C61*B61</f>
        <v>99660</v>
      </c>
      <c r="L61" t="s">
        <v>103</v>
      </c>
      <c r="M61">
        <f>22660*20</f>
        <v>453200</v>
      </c>
    </row>
    <row r="62" spans="1:13">
      <c r="A62" s="26">
        <v>61</v>
      </c>
      <c r="B62" s="26">
        <v>30</v>
      </c>
      <c r="C62">
        <f t="shared" si="1"/>
        <v>3654</v>
      </c>
    </row>
    <row r="63" spans="1:13">
      <c r="A63" s="26">
        <v>62</v>
      </c>
      <c r="B63" s="26">
        <v>30</v>
      </c>
      <c r="C63">
        <f t="shared" si="1"/>
        <v>4020</v>
      </c>
    </row>
    <row r="64" spans="1:13">
      <c r="A64" s="26">
        <v>63</v>
      </c>
      <c r="B64" s="26">
        <v>30</v>
      </c>
      <c r="C64">
        <f t="shared" si="1"/>
        <v>4422</v>
      </c>
    </row>
    <row r="65" spans="1:7">
      <c r="A65" s="26">
        <v>64</v>
      </c>
      <c r="B65" s="26">
        <v>30</v>
      </c>
      <c r="C65">
        <f t="shared" si="1"/>
        <v>4864</v>
      </c>
    </row>
    <row r="66" spans="1:7">
      <c r="A66" s="26">
        <v>65</v>
      </c>
      <c r="B66" s="26">
        <v>30</v>
      </c>
      <c r="C66">
        <f t="shared" si="1"/>
        <v>5350</v>
      </c>
      <c r="D66">
        <v>2</v>
      </c>
      <c r="E66">
        <f>ROUNDDOWN(C66*B66/2,0)</f>
        <v>80250</v>
      </c>
    </row>
    <row r="67" spans="1:7">
      <c r="A67" s="26">
        <v>66</v>
      </c>
      <c r="B67" s="26">
        <v>30</v>
      </c>
      <c r="C67">
        <f t="shared" ref="C67:C98" si="2">ROUNDUP($C$2*(1+0.1)^(A67-1),0)</f>
        <v>5885</v>
      </c>
    </row>
    <row r="68" spans="1:7">
      <c r="A68" s="26">
        <v>67</v>
      </c>
      <c r="B68" s="26">
        <v>30</v>
      </c>
      <c r="C68">
        <f t="shared" si="2"/>
        <v>6473</v>
      </c>
    </row>
    <row r="69" spans="1:7">
      <c r="A69" s="26">
        <v>68</v>
      </c>
      <c r="B69" s="26">
        <v>30</v>
      </c>
      <c r="C69">
        <f t="shared" si="2"/>
        <v>7121</v>
      </c>
    </row>
    <row r="70" spans="1:7">
      <c r="A70" s="26">
        <v>69</v>
      </c>
      <c r="B70" s="26">
        <v>30</v>
      </c>
      <c r="C70">
        <f t="shared" si="2"/>
        <v>7833</v>
      </c>
    </row>
    <row r="71" spans="1:7">
      <c r="A71" s="26">
        <v>70</v>
      </c>
      <c r="B71" s="26">
        <v>30</v>
      </c>
      <c r="C71">
        <f t="shared" si="2"/>
        <v>8616</v>
      </c>
      <c r="F71">
        <v>1</v>
      </c>
      <c r="G71">
        <f>C71*B71</f>
        <v>258480</v>
      </c>
    </row>
    <row r="72" spans="1:7">
      <c r="A72" s="26">
        <v>71</v>
      </c>
      <c r="B72" s="26">
        <v>30</v>
      </c>
      <c r="C72">
        <f t="shared" si="2"/>
        <v>9477</v>
      </c>
    </row>
    <row r="73" spans="1:7">
      <c r="A73" s="26">
        <v>72</v>
      </c>
      <c r="B73" s="26">
        <v>30</v>
      </c>
      <c r="C73">
        <f t="shared" si="2"/>
        <v>10425</v>
      </c>
    </row>
    <row r="74" spans="1:7">
      <c r="A74" s="26">
        <v>73</v>
      </c>
      <c r="B74" s="26">
        <v>30</v>
      </c>
      <c r="C74">
        <f t="shared" si="2"/>
        <v>11468</v>
      </c>
    </row>
    <row r="75" spans="1:7">
      <c r="A75" s="26">
        <v>74</v>
      </c>
      <c r="B75" s="26">
        <v>30</v>
      </c>
      <c r="C75">
        <f t="shared" si="2"/>
        <v>12614</v>
      </c>
    </row>
    <row r="76" spans="1:7">
      <c r="A76" s="26">
        <v>75</v>
      </c>
      <c r="B76" s="26">
        <v>30</v>
      </c>
      <c r="C76">
        <f t="shared" si="2"/>
        <v>13876</v>
      </c>
      <c r="D76">
        <v>2</v>
      </c>
      <c r="E76">
        <f>ROUNDDOWN(C76*B76/2,0)</f>
        <v>208140</v>
      </c>
    </row>
    <row r="77" spans="1:7">
      <c r="A77" s="26">
        <v>76</v>
      </c>
      <c r="B77" s="26">
        <v>30</v>
      </c>
      <c r="C77">
        <f t="shared" si="2"/>
        <v>15263</v>
      </c>
    </row>
    <row r="78" spans="1:7">
      <c r="A78" s="26">
        <v>77</v>
      </c>
      <c r="B78" s="26">
        <v>30</v>
      </c>
      <c r="C78">
        <f t="shared" si="2"/>
        <v>16790</v>
      </c>
    </row>
    <row r="79" spans="1:7">
      <c r="A79" s="26">
        <v>78</v>
      </c>
      <c r="B79" s="26">
        <v>30</v>
      </c>
      <c r="C79">
        <f t="shared" si="2"/>
        <v>18468</v>
      </c>
    </row>
    <row r="80" spans="1:7">
      <c r="A80" s="26">
        <v>79</v>
      </c>
      <c r="B80" s="26">
        <v>30</v>
      </c>
      <c r="C80">
        <f t="shared" si="2"/>
        <v>20315</v>
      </c>
    </row>
    <row r="81" spans="1:13">
      <c r="A81" s="26">
        <v>80</v>
      </c>
      <c r="B81" s="26">
        <v>30</v>
      </c>
      <c r="C81">
        <f t="shared" si="2"/>
        <v>22347</v>
      </c>
      <c r="F81">
        <v>1</v>
      </c>
      <c r="G81">
        <f>C81*B81</f>
        <v>670410</v>
      </c>
    </row>
    <row r="82" spans="1:13">
      <c r="A82" s="26">
        <v>81</v>
      </c>
      <c r="B82" s="26">
        <v>30</v>
      </c>
      <c r="C82">
        <f t="shared" si="2"/>
        <v>24581</v>
      </c>
      <c r="L82" t="s">
        <v>104</v>
      </c>
      <c r="M82">
        <f>517480*4*1.2*(1+0.2)*1.25</f>
        <v>3725856</v>
      </c>
    </row>
    <row r="83" spans="1:13">
      <c r="A83" s="26">
        <v>82</v>
      </c>
      <c r="B83" s="26">
        <v>30</v>
      </c>
      <c r="C83">
        <f t="shared" si="2"/>
        <v>27039</v>
      </c>
    </row>
    <row r="84" spans="1:13">
      <c r="A84" s="26">
        <v>83</v>
      </c>
      <c r="B84" s="26">
        <v>30</v>
      </c>
      <c r="C84">
        <f t="shared" si="2"/>
        <v>29743</v>
      </c>
    </row>
    <row r="85" spans="1:13">
      <c r="A85" s="26">
        <v>84</v>
      </c>
      <c r="B85" s="26">
        <v>30</v>
      </c>
      <c r="C85">
        <f t="shared" si="2"/>
        <v>32718</v>
      </c>
    </row>
    <row r="86" spans="1:13">
      <c r="A86" s="26">
        <v>85</v>
      </c>
      <c r="B86" s="26">
        <v>30</v>
      </c>
      <c r="C86">
        <f t="shared" si="2"/>
        <v>35989</v>
      </c>
      <c r="D86">
        <v>2</v>
      </c>
      <c r="E86">
        <f>ROUNDDOWN(C86*B86/2,0)</f>
        <v>539835</v>
      </c>
    </row>
    <row r="87" spans="1:13">
      <c r="A87" s="26">
        <v>86</v>
      </c>
      <c r="B87" s="26">
        <v>30</v>
      </c>
      <c r="C87">
        <f t="shared" si="2"/>
        <v>39588</v>
      </c>
    </row>
    <row r="88" spans="1:13">
      <c r="A88" s="26">
        <v>87</v>
      </c>
      <c r="B88" s="26">
        <v>30</v>
      </c>
      <c r="C88">
        <f t="shared" si="2"/>
        <v>43547</v>
      </c>
    </row>
    <row r="89" spans="1:13">
      <c r="A89" s="26">
        <v>88</v>
      </c>
      <c r="B89" s="26">
        <v>30</v>
      </c>
      <c r="C89">
        <f t="shared" si="2"/>
        <v>47902</v>
      </c>
    </row>
    <row r="90" spans="1:13">
      <c r="A90" s="26">
        <v>89</v>
      </c>
      <c r="B90" s="26">
        <v>30</v>
      </c>
      <c r="C90">
        <f t="shared" si="2"/>
        <v>52692</v>
      </c>
    </row>
    <row r="91" spans="1:13">
      <c r="A91" s="26">
        <v>90</v>
      </c>
      <c r="B91" s="26">
        <v>30</v>
      </c>
      <c r="C91">
        <f t="shared" si="2"/>
        <v>57961</v>
      </c>
      <c r="F91">
        <v>1</v>
      </c>
      <c r="G91">
        <f>C91*B91</f>
        <v>1738830</v>
      </c>
    </row>
    <row r="92" spans="1:13">
      <c r="A92" s="26">
        <v>91</v>
      </c>
      <c r="B92" s="26">
        <v>30</v>
      </c>
      <c r="C92">
        <f t="shared" si="2"/>
        <v>63757</v>
      </c>
    </row>
    <row r="93" spans="1:13">
      <c r="A93" s="26">
        <v>92</v>
      </c>
      <c r="B93" s="26">
        <v>30</v>
      </c>
      <c r="C93">
        <f t="shared" si="2"/>
        <v>70132</v>
      </c>
    </row>
    <row r="94" spans="1:13">
      <c r="A94" s="26">
        <v>93</v>
      </c>
      <c r="B94" s="26">
        <v>30</v>
      </c>
      <c r="C94">
        <f t="shared" si="2"/>
        <v>77146</v>
      </c>
    </row>
    <row r="95" spans="1:13">
      <c r="A95" s="26">
        <v>94</v>
      </c>
      <c r="B95" s="26">
        <v>30</v>
      </c>
      <c r="C95">
        <f t="shared" si="2"/>
        <v>84860</v>
      </c>
    </row>
    <row r="96" spans="1:13">
      <c r="A96" s="26">
        <v>95</v>
      </c>
      <c r="B96" s="26">
        <v>30</v>
      </c>
      <c r="C96">
        <f t="shared" si="2"/>
        <v>93346</v>
      </c>
      <c r="D96">
        <v>2</v>
      </c>
      <c r="E96">
        <f>ROUNDDOWN(C96*B96/2,0)</f>
        <v>1400190</v>
      </c>
    </row>
    <row r="97" spans="1:7">
      <c r="A97" s="26">
        <v>96</v>
      </c>
      <c r="B97" s="26">
        <v>30</v>
      </c>
      <c r="C97">
        <f t="shared" si="2"/>
        <v>102681</v>
      </c>
    </row>
    <row r="98" spans="1:7">
      <c r="A98" s="26">
        <v>97</v>
      </c>
      <c r="B98" s="26">
        <v>30</v>
      </c>
      <c r="C98">
        <f t="shared" si="2"/>
        <v>112949</v>
      </c>
    </row>
    <row r="99" spans="1:7">
      <c r="A99" s="26">
        <v>98</v>
      </c>
      <c r="B99" s="26">
        <v>30</v>
      </c>
      <c r="C99">
        <f t="shared" ref="C99:C130" si="3">ROUNDUP($C$2*(1+0.1)^(A99-1),0)</f>
        <v>124243</v>
      </c>
    </row>
    <row r="100" spans="1:7">
      <c r="A100" s="26">
        <v>99</v>
      </c>
      <c r="B100" s="26">
        <v>30</v>
      </c>
      <c r="C100">
        <f t="shared" si="3"/>
        <v>136668</v>
      </c>
    </row>
    <row r="101" spans="1:7">
      <c r="A101" s="26">
        <v>100</v>
      </c>
      <c r="B101" s="26">
        <v>30</v>
      </c>
      <c r="C101">
        <f t="shared" si="3"/>
        <v>150334</v>
      </c>
      <c r="F101">
        <v>1</v>
      </c>
      <c r="G101">
        <f>C101*B101</f>
        <v>4510020</v>
      </c>
    </row>
    <row r="102" spans="1:7">
      <c r="A102" s="26">
        <v>101</v>
      </c>
      <c r="B102" s="26">
        <v>30</v>
      </c>
      <c r="C102">
        <f t="shared" si="3"/>
        <v>165368</v>
      </c>
    </row>
    <row r="103" spans="1:7">
      <c r="A103" s="26">
        <v>102</v>
      </c>
      <c r="B103" s="26">
        <v>30</v>
      </c>
      <c r="C103">
        <f t="shared" si="3"/>
        <v>181905</v>
      </c>
    </row>
    <row r="104" spans="1:7">
      <c r="A104" s="26">
        <v>103</v>
      </c>
      <c r="B104" s="26">
        <v>30</v>
      </c>
      <c r="C104">
        <f t="shared" si="3"/>
        <v>200095</v>
      </c>
    </row>
    <row r="105" spans="1:7">
      <c r="A105" s="26">
        <v>104</v>
      </c>
      <c r="B105" s="26">
        <v>30</v>
      </c>
      <c r="C105">
        <f t="shared" si="3"/>
        <v>220104</v>
      </c>
    </row>
    <row r="106" spans="1:7">
      <c r="A106" s="26">
        <v>105</v>
      </c>
      <c r="B106" s="26">
        <v>30</v>
      </c>
      <c r="C106">
        <f t="shared" si="3"/>
        <v>242115</v>
      </c>
      <c r="D106">
        <v>2</v>
      </c>
      <c r="E106">
        <f>ROUNDDOWN(C106*B106/2,0)</f>
        <v>3631725</v>
      </c>
    </row>
    <row r="107" spans="1:7">
      <c r="A107" s="26">
        <v>106</v>
      </c>
      <c r="B107" s="26">
        <v>30</v>
      </c>
      <c r="C107">
        <f t="shared" si="3"/>
        <v>266326</v>
      </c>
    </row>
    <row r="108" spans="1:7">
      <c r="A108" s="26">
        <v>107</v>
      </c>
      <c r="B108" s="26">
        <v>30</v>
      </c>
      <c r="C108">
        <f t="shared" si="3"/>
        <v>292959</v>
      </c>
    </row>
    <row r="109" spans="1:7">
      <c r="A109" s="26">
        <v>108</v>
      </c>
      <c r="B109" s="26">
        <v>30</v>
      </c>
      <c r="C109">
        <f t="shared" si="3"/>
        <v>322255</v>
      </c>
    </row>
    <row r="110" spans="1:7">
      <c r="A110" s="26">
        <v>109</v>
      </c>
      <c r="B110" s="26">
        <v>30</v>
      </c>
      <c r="C110">
        <f t="shared" si="3"/>
        <v>354480</v>
      </c>
    </row>
    <row r="111" spans="1:7">
      <c r="A111" s="26">
        <v>110</v>
      </c>
      <c r="B111" s="26">
        <v>30</v>
      </c>
      <c r="C111">
        <f t="shared" si="3"/>
        <v>389928</v>
      </c>
      <c r="F111">
        <v>1</v>
      </c>
      <c r="G111">
        <f>C111*B111</f>
        <v>11697840</v>
      </c>
    </row>
    <row r="112" spans="1:7">
      <c r="A112" s="26">
        <v>111</v>
      </c>
      <c r="B112" s="26">
        <v>30</v>
      </c>
      <c r="C112">
        <f t="shared" si="3"/>
        <v>428921</v>
      </c>
    </row>
    <row r="113" spans="1:7">
      <c r="A113" s="26">
        <v>112</v>
      </c>
      <c r="B113" s="26">
        <v>30</v>
      </c>
      <c r="C113">
        <f t="shared" si="3"/>
        <v>471813</v>
      </c>
    </row>
    <row r="114" spans="1:7">
      <c r="A114" s="26">
        <v>113</v>
      </c>
      <c r="B114" s="26">
        <v>30</v>
      </c>
      <c r="C114">
        <f t="shared" si="3"/>
        <v>518994</v>
      </c>
    </row>
    <row r="115" spans="1:7">
      <c r="A115" s="26">
        <v>114</v>
      </c>
      <c r="B115" s="26">
        <v>30</v>
      </c>
      <c r="C115">
        <f t="shared" si="3"/>
        <v>570893</v>
      </c>
    </row>
    <row r="116" spans="1:7">
      <c r="A116" s="26">
        <v>115</v>
      </c>
      <c r="B116" s="26">
        <v>30</v>
      </c>
      <c r="C116">
        <f t="shared" si="3"/>
        <v>627983</v>
      </c>
      <c r="D116">
        <v>2</v>
      </c>
      <c r="E116">
        <f>ROUNDDOWN(C116*B116/2,0)</f>
        <v>9419745</v>
      </c>
    </row>
    <row r="117" spans="1:7">
      <c r="A117" s="26">
        <v>116</v>
      </c>
      <c r="B117" s="26">
        <v>30</v>
      </c>
      <c r="C117">
        <f t="shared" si="3"/>
        <v>690781</v>
      </c>
    </row>
    <row r="118" spans="1:7">
      <c r="A118" s="26">
        <v>117</v>
      </c>
      <c r="B118" s="26">
        <v>30</v>
      </c>
      <c r="C118">
        <f t="shared" si="3"/>
        <v>759859</v>
      </c>
    </row>
    <row r="119" spans="1:7">
      <c r="A119" s="26">
        <v>118</v>
      </c>
      <c r="B119" s="26">
        <v>30</v>
      </c>
      <c r="C119">
        <f t="shared" si="3"/>
        <v>835845</v>
      </c>
    </row>
    <row r="120" spans="1:7">
      <c r="A120" s="26">
        <v>119</v>
      </c>
      <c r="B120" s="26">
        <v>30</v>
      </c>
      <c r="C120">
        <f t="shared" si="3"/>
        <v>919429</v>
      </c>
    </row>
    <row r="121" spans="1:7">
      <c r="A121" s="26">
        <v>120</v>
      </c>
      <c r="B121" s="26">
        <v>30</v>
      </c>
      <c r="C121">
        <f t="shared" si="3"/>
        <v>1011372</v>
      </c>
      <c r="F121">
        <v>1</v>
      </c>
      <c r="G121">
        <f>C121*B121</f>
        <v>30341160</v>
      </c>
    </row>
    <row r="122" spans="1:7">
      <c r="A122" s="26">
        <v>121</v>
      </c>
      <c r="B122" s="26">
        <v>30</v>
      </c>
      <c r="C122">
        <f t="shared" si="3"/>
        <v>1112509</v>
      </c>
    </row>
    <row r="123" spans="1:7">
      <c r="A123" s="26">
        <v>122</v>
      </c>
      <c r="B123" s="26">
        <v>30</v>
      </c>
      <c r="C123">
        <f t="shared" si="3"/>
        <v>1223760</v>
      </c>
    </row>
    <row r="124" spans="1:7">
      <c r="A124" s="26">
        <v>123</v>
      </c>
      <c r="B124" s="26">
        <v>30</v>
      </c>
      <c r="C124">
        <f t="shared" si="3"/>
        <v>1346136</v>
      </c>
    </row>
    <row r="125" spans="1:7">
      <c r="A125" s="26">
        <v>124</v>
      </c>
      <c r="B125" s="26">
        <v>30</v>
      </c>
      <c r="C125">
        <f t="shared" si="3"/>
        <v>1480750</v>
      </c>
    </row>
    <row r="126" spans="1:7">
      <c r="A126" s="26">
        <v>125</v>
      </c>
      <c r="B126" s="26">
        <v>30</v>
      </c>
      <c r="C126">
        <f t="shared" si="3"/>
        <v>1628825</v>
      </c>
      <c r="D126">
        <v>2</v>
      </c>
      <c r="E126">
        <f>ROUNDDOWN(C126*B126/2,0)</f>
        <v>24432375</v>
      </c>
    </row>
    <row r="127" spans="1:7">
      <c r="A127" s="26">
        <v>126</v>
      </c>
      <c r="B127" s="26">
        <v>30</v>
      </c>
      <c r="C127">
        <f t="shared" si="3"/>
        <v>1791707</v>
      </c>
    </row>
    <row r="128" spans="1:7">
      <c r="A128" s="26">
        <v>127</v>
      </c>
      <c r="B128" s="26">
        <v>30</v>
      </c>
      <c r="C128">
        <f t="shared" si="3"/>
        <v>1970878</v>
      </c>
    </row>
    <row r="129" spans="1:7">
      <c r="A129" s="26">
        <v>128</v>
      </c>
      <c r="B129" s="26">
        <v>30</v>
      </c>
      <c r="C129">
        <f t="shared" si="3"/>
        <v>2167965</v>
      </c>
    </row>
    <row r="130" spans="1:7">
      <c r="A130" s="26">
        <v>129</v>
      </c>
      <c r="B130" s="26">
        <v>30</v>
      </c>
      <c r="C130">
        <f t="shared" si="3"/>
        <v>2384762</v>
      </c>
    </row>
    <row r="131" spans="1:7">
      <c r="A131" s="26">
        <v>130</v>
      </c>
      <c r="B131" s="26">
        <v>30</v>
      </c>
      <c r="C131">
        <f t="shared" ref="C131:C162" si="4">ROUNDUP($C$2*(1+0.1)^(A131-1),0)</f>
        <v>2623238</v>
      </c>
      <c r="F131">
        <v>1</v>
      </c>
      <c r="G131">
        <f>C131*B131</f>
        <v>78697140</v>
      </c>
    </row>
    <row r="132" spans="1:7">
      <c r="A132" s="26">
        <v>131</v>
      </c>
      <c r="B132" s="26">
        <v>30</v>
      </c>
      <c r="C132">
        <f t="shared" si="4"/>
        <v>2885562</v>
      </c>
    </row>
    <row r="133" spans="1:7">
      <c r="A133" s="26">
        <v>132</v>
      </c>
      <c r="B133" s="26">
        <v>30</v>
      </c>
      <c r="C133">
        <f t="shared" si="4"/>
        <v>3174118</v>
      </c>
    </row>
    <row r="134" spans="1:7">
      <c r="A134" s="26">
        <v>133</v>
      </c>
      <c r="B134" s="26">
        <v>30</v>
      </c>
      <c r="C134">
        <f t="shared" si="4"/>
        <v>3491530</v>
      </c>
    </row>
    <row r="135" spans="1:7">
      <c r="A135" s="26">
        <v>134</v>
      </c>
      <c r="B135" s="26">
        <v>30</v>
      </c>
      <c r="C135">
        <f t="shared" si="4"/>
        <v>3840683</v>
      </c>
    </row>
    <row r="136" spans="1:7">
      <c r="A136" s="26">
        <v>135</v>
      </c>
      <c r="B136" s="26">
        <v>30</v>
      </c>
      <c r="C136">
        <f t="shared" si="4"/>
        <v>4224751</v>
      </c>
      <c r="D136">
        <v>2</v>
      </c>
      <c r="E136">
        <f>ROUNDDOWN(C136*B136/2,0)</f>
        <v>63371265</v>
      </c>
    </row>
    <row r="137" spans="1:7">
      <c r="A137" s="26">
        <v>136</v>
      </c>
      <c r="B137" s="26">
        <v>30</v>
      </c>
      <c r="C137">
        <f t="shared" si="4"/>
        <v>4647226</v>
      </c>
    </row>
    <row r="138" spans="1:7">
      <c r="A138" s="26">
        <v>137</v>
      </c>
      <c r="B138" s="26">
        <v>30</v>
      </c>
      <c r="C138">
        <f t="shared" si="4"/>
        <v>5111949</v>
      </c>
    </row>
    <row r="139" spans="1:7">
      <c r="A139" s="26">
        <v>138</v>
      </c>
      <c r="B139" s="26">
        <v>30</v>
      </c>
      <c r="C139">
        <f t="shared" si="4"/>
        <v>5623143</v>
      </c>
    </row>
    <row r="140" spans="1:7">
      <c r="A140" s="26">
        <v>139</v>
      </c>
      <c r="B140" s="26">
        <v>30</v>
      </c>
      <c r="C140">
        <f t="shared" si="4"/>
        <v>6185458</v>
      </c>
    </row>
    <row r="141" spans="1:7">
      <c r="A141" s="26">
        <v>140</v>
      </c>
      <c r="B141" s="26">
        <v>30</v>
      </c>
      <c r="C141">
        <f t="shared" si="4"/>
        <v>6804003</v>
      </c>
      <c r="F141">
        <v>1</v>
      </c>
      <c r="G141">
        <f>C141*B141</f>
        <v>204120090</v>
      </c>
    </row>
    <row r="142" spans="1:7">
      <c r="A142" s="26">
        <v>141</v>
      </c>
      <c r="B142" s="26">
        <v>30</v>
      </c>
      <c r="C142">
        <f t="shared" si="4"/>
        <v>7484404</v>
      </c>
    </row>
    <row r="143" spans="1:7">
      <c r="A143" s="26">
        <v>142</v>
      </c>
      <c r="B143" s="26">
        <v>30</v>
      </c>
      <c r="C143">
        <f t="shared" si="4"/>
        <v>8232844</v>
      </c>
    </row>
    <row r="144" spans="1:7">
      <c r="A144" s="26">
        <v>143</v>
      </c>
      <c r="B144" s="26">
        <v>30</v>
      </c>
      <c r="C144">
        <f t="shared" si="4"/>
        <v>9056128</v>
      </c>
    </row>
    <row r="145" spans="1:7">
      <c r="A145" s="26">
        <v>144</v>
      </c>
      <c r="B145" s="26">
        <v>30</v>
      </c>
      <c r="C145">
        <f t="shared" si="4"/>
        <v>9961741</v>
      </c>
    </row>
    <row r="146" spans="1:7">
      <c r="A146" s="26">
        <v>145</v>
      </c>
      <c r="B146" s="26">
        <v>30</v>
      </c>
      <c r="C146">
        <f t="shared" si="4"/>
        <v>10957915</v>
      </c>
      <c r="D146">
        <v>2</v>
      </c>
      <c r="E146">
        <f>ROUNDDOWN(C146*B146/2,0)</f>
        <v>164368725</v>
      </c>
    </row>
    <row r="147" spans="1:7">
      <c r="A147" s="26">
        <v>146</v>
      </c>
      <c r="B147" s="26">
        <v>30</v>
      </c>
      <c r="C147">
        <f t="shared" si="4"/>
        <v>12053706</v>
      </c>
    </row>
    <row r="148" spans="1:7">
      <c r="A148" s="26">
        <v>147</v>
      </c>
      <c r="B148" s="26">
        <v>30</v>
      </c>
      <c r="C148">
        <f t="shared" si="4"/>
        <v>13259077</v>
      </c>
    </row>
    <row r="149" spans="1:7">
      <c r="A149" s="26">
        <v>148</v>
      </c>
      <c r="B149" s="26">
        <v>30</v>
      </c>
      <c r="C149">
        <f t="shared" si="4"/>
        <v>14584985</v>
      </c>
    </row>
    <row r="150" spans="1:7">
      <c r="A150" s="26">
        <v>149</v>
      </c>
      <c r="B150" s="26">
        <v>30</v>
      </c>
      <c r="C150">
        <f t="shared" si="4"/>
        <v>16043483</v>
      </c>
    </row>
    <row r="151" spans="1:7">
      <c r="A151" s="26">
        <v>150</v>
      </c>
      <c r="B151" s="26">
        <v>30</v>
      </c>
      <c r="C151">
        <f t="shared" si="4"/>
        <v>17647831</v>
      </c>
      <c r="F151">
        <v>1</v>
      </c>
      <c r="G151">
        <f>C151*B151</f>
        <v>529434930</v>
      </c>
    </row>
    <row r="152" spans="1:7">
      <c r="A152" s="26">
        <v>151</v>
      </c>
      <c r="B152" s="26">
        <v>30</v>
      </c>
      <c r="C152">
        <f t="shared" si="4"/>
        <v>19412615</v>
      </c>
    </row>
    <row r="153" spans="1:7">
      <c r="A153" s="26">
        <v>152</v>
      </c>
      <c r="B153" s="26">
        <v>30</v>
      </c>
      <c r="C153">
        <f t="shared" si="4"/>
        <v>21353876</v>
      </c>
    </row>
    <row r="154" spans="1:7">
      <c r="A154" s="26">
        <v>153</v>
      </c>
      <c r="B154" s="26">
        <v>30</v>
      </c>
      <c r="C154">
        <f t="shared" si="4"/>
        <v>23489263</v>
      </c>
    </row>
    <row r="155" spans="1:7">
      <c r="A155" s="26">
        <v>154</v>
      </c>
      <c r="B155" s="26">
        <v>30</v>
      </c>
      <c r="C155">
        <f t="shared" si="4"/>
        <v>25838190</v>
      </c>
    </row>
    <row r="156" spans="1:7">
      <c r="A156" s="26">
        <v>155</v>
      </c>
      <c r="B156" s="26">
        <v>30</v>
      </c>
      <c r="C156">
        <f t="shared" si="4"/>
        <v>28422009</v>
      </c>
      <c r="D156">
        <v>2</v>
      </c>
      <c r="E156">
        <f>ROUNDDOWN(C156*B156/2,0)</f>
        <v>426330135</v>
      </c>
    </row>
    <row r="157" spans="1:7">
      <c r="A157" s="26">
        <v>156</v>
      </c>
      <c r="B157" s="26">
        <v>30</v>
      </c>
      <c r="C157">
        <f t="shared" si="4"/>
        <v>31264210</v>
      </c>
    </row>
    <row r="158" spans="1:7">
      <c r="A158" s="26">
        <v>157</v>
      </c>
      <c r="B158" s="26">
        <v>30</v>
      </c>
      <c r="C158">
        <f t="shared" si="4"/>
        <v>34390630</v>
      </c>
    </row>
    <row r="159" spans="1:7">
      <c r="A159" s="26">
        <v>158</v>
      </c>
      <c r="B159" s="26">
        <v>30</v>
      </c>
      <c r="C159">
        <f t="shared" si="4"/>
        <v>37829693</v>
      </c>
    </row>
    <row r="160" spans="1:7">
      <c r="A160" s="26">
        <v>159</v>
      </c>
      <c r="B160" s="26">
        <v>30</v>
      </c>
      <c r="C160">
        <f t="shared" si="4"/>
        <v>41612663</v>
      </c>
    </row>
    <row r="161" spans="1:7">
      <c r="A161" s="26">
        <v>160</v>
      </c>
      <c r="B161" s="26">
        <v>30</v>
      </c>
      <c r="C161">
        <f t="shared" si="4"/>
        <v>45773929</v>
      </c>
      <c r="F161">
        <v>1</v>
      </c>
      <c r="G161">
        <f>C161*B161</f>
        <v>1373217870</v>
      </c>
    </row>
    <row r="162" spans="1:7">
      <c r="A162" s="26">
        <v>161</v>
      </c>
      <c r="B162" s="26">
        <v>30</v>
      </c>
      <c r="C162">
        <f t="shared" si="4"/>
        <v>50351322</v>
      </c>
    </row>
    <row r="163" spans="1:7">
      <c r="A163" s="26">
        <v>162</v>
      </c>
      <c r="B163" s="26">
        <v>30</v>
      </c>
      <c r="C163">
        <f t="shared" ref="C163:C194" si="5">ROUNDUP($C$2*(1+0.1)^(A163-1),0)</f>
        <v>55386454</v>
      </c>
    </row>
    <row r="164" spans="1:7">
      <c r="A164" s="26">
        <v>163</v>
      </c>
      <c r="B164" s="26">
        <v>30</v>
      </c>
      <c r="C164">
        <f t="shared" si="5"/>
        <v>60925099</v>
      </c>
    </row>
    <row r="165" spans="1:7">
      <c r="A165" s="26">
        <v>164</v>
      </c>
      <c r="B165" s="26">
        <v>30</v>
      </c>
      <c r="C165">
        <f t="shared" si="5"/>
        <v>67017609</v>
      </c>
    </row>
    <row r="166" spans="1:7">
      <c r="A166" s="26">
        <v>165</v>
      </c>
      <c r="B166" s="26">
        <v>30</v>
      </c>
      <c r="C166">
        <f t="shared" si="5"/>
        <v>73719370</v>
      </c>
      <c r="D166">
        <v>2</v>
      </c>
      <c r="E166">
        <f>ROUNDDOWN(C166*B166/2,0)</f>
        <v>1105790550</v>
      </c>
    </row>
    <row r="167" spans="1:7">
      <c r="A167" s="26">
        <v>166</v>
      </c>
      <c r="B167" s="26">
        <v>30</v>
      </c>
      <c r="C167">
        <f t="shared" si="5"/>
        <v>81091307</v>
      </c>
    </row>
    <row r="168" spans="1:7">
      <c r="A168" s="26">
        <v>167</v>
      </c>
      <c r="B168" s="26">
        <v>30</v>
      </c>
      <c r="C168">
        <f t="shared" si="5"/>
        <v>89200438</v>
      </c>
    </row>
    <row r="169" spans="1:7">
      <c r="A169" s="26">
        <v>168</v>
      </c>
      <c r="B169" s="26">
        <v>30</v>
      </c>
      <c r="C169">
        <f t="shared" si="5"/>
        <v>98120481</v>
      </c>
    </row>
    <row r="170" spans="1:7">
      <c r="A170" s="26">
        <v>169</v>
      </c>
      <c r="B170" s="26">
        <v>30</v>
      </c>
      <c r="C170">
        <f t="shared" si="5"/>
        <v>107932529</v>
      </c>
    </row>
    <row r="171" spans="1:7">
      <c r="A171" s="26">
        <v>170</v>
      </c>
      <c r="B171" s="26">
        <v>30</v>
      </c>
      <c r="C171">
        <f t="shared" si="5"/>
        <v>118725782</v>
      </c>
      <c r="F171">
        <v>1</v>
      </c>
      <c r="G171">
        <f>C171*B171</f>
        <v>3561773460</v>
      </c>
    </row>
    <row r="172" spans="1:7">
      <c r="A172" s="26">
        <v>171</v>
      </c>
      <c r="B172" s="26">
        <v>30</v>
      </c>
      <c r="C172">
        <f t="shared" si="5"/>
        <v>130598360</v>
      </c>
    </row>
    <row r="173" spans="1:7">
      <c r="A173" s="26">
        <v>172</v>
      </c>
      <c r="B173" s="26">
        <v>30</v>
      </c>
      <c r="C173">
        <f t="shared" si="5"/>
        <v>143658196</v>
      </c>
    </row>
    <row r="174" spans="1:7">
      <c r="A174" s="26">
        <v>173</v>
      </c>
      <c r="B174" s="26">
        <v>30</v>
      </c>
      <c r="C174">
        <f t="shared" si="5"/>
        <v>158024016</v>
      </c>
    </row>
    <row r="175" spans="1:7">
      <c r="A175" s="26">
        <v>174</v>
      </c>
      <c r="B175" s="26">
        <v>30</v>
      </c>
      <c r="C175">
        <f t="shared" si="5"/>
        <v>173826418</v>
      </c>
    </row>
    <row r="176" spans="1:7">
      <c r="A176" s="26">
        <v>175</v>
      </c>
      <c r="B176" s="26">
        <v>30</v>
      </c>
      <c r="C176">
        <f t="shared" si="5"/>
        <v>191209059</v>
      </c>
      <c r="D176">
        <v>2</v>
      </c>
      <c r="E176">
        <f>ROUNDDOWN(C176*B176/2,0)</f>
        <v>2868135885</v>
      </c>
    </row>
    <row r="177" spans="1:7">
      <c r="A177" s="26">
        <v>176</v>
      </c>
      <c r="B177" s="26">
        <v>30</v>
      </c>
      <c r="C177">
        <f t="shared" si="5"/>
        <v>210329965</v>
      </c>
    </row>
    <row r="178" spans="1:7">
      <c r="A178" s="26">
        <v>177</v>
      </c>
      <c r="B178" s="26">
        <v>30</v>
      </c>
      <c r="C178">
        <f t="shared" si="5"/>
        <v>231362962</v>
      </c>
    </row>
    <row r="179" spans="1:7">
      <c r="A179" s="26">
        <v>178</v>
      </c>
      <c r="B179" s="26">
        <v>30</v>
      </c>
      <c r="C179">
        <f t="shared" si="5"/>
        <v>254499258</v>
      </c>
    </row>
    <row r="180" spans="1:7">
      <c r="A180" s="26">
        <v>179</v>
      </c>
      <c r="B180" s="26">
        <v>30</v>
      </c>
      <c r="C180">
        <f t="shared" si="5"/>
        <v>279949183</v>
      </c>
    </row>
    <row r="181" spans="1:7">
      <c r="A181" s="26">
        <v>180</v>
      </c>
      <c r="B181" s="26">
        <v>30</v>
      </c>
      <c r="C181">
        <f t="shared" si="5"/>
        <v>307944102</v>
      </c>
      <c r="F181">
        <v>1</v>
      </c>
      <c r="G181">
        <f>C181*B181</f>
        <v>9238323060</v>
      </c>
    </row>
    <row r="182" spans="1:7">
      <c r="A182" s="26">
        <v>181</v>
      </c>
      <c r="B182" s="26">
        <v>30</v>
      </c>
      <c r="C182">
        <f t="shared" si="5"/>
        <v>338738512</v>
      </c>
    </row>
    <row r="183" spans="1:7">
      <c r="A183" s="26">
        <v>182</v>
      </c>
      <c r="B183" s="26">
        <v>30</v>
      </c>
      <c r="C183">
        <f t="shared" si="5"/>
        <v>372612363</v>
      </c>
    </row>
    <row r="184" spans="1:7">
      <c r="A184" s="26">
        <v>183</v>
      </c>
      <c r="B184" s="26">
        <v>30</v>
      </c>
      <c r="C184">
        <f t="shared" si="5"/>
        <v>409873599</v>
      </c>
    </row>
    <row r="185" spans="1:7">
      <c r="A185" s="26">
        <v>184</v>
      </c>
      <c r="B185" s="26">
        <v>30</v>
      </c>
      <c r="C185">
        <f t="shared" si="5"/>
        <v>450860959</v>
      </c>
    </row>
    <row r="186" spans="1:7">
      <c r="A186" s="26">
        <v>185</v>
      </c>
      <c r="B186" s="26">
        <v>30</v>
      </c>
      <c r="C186">
        <f t="shared" si="5"/>
        <v>495947055</v>
      </c>
      <c r="D186">
        <v>2</v>
      </c>
      <c r="E186">
        <f>ROUNDDOWN(C186*B186/2,0)</f>
        <v>7439205825</v>
      </c>
    </row>
    <row r="187" spans="1:7">
      <c r="A187" s="26">
        <v>186</v>
      </c>
      <c r="B187" s="26">
        <v>30</v>
      </c>
      <c r="C187">
        <f t="shared" si="5"/>
        <v>545541760</v>
      </c>
    </row>
    <row r="188" spans="1:7">
      <c r="A188" s="26">
        <v>187</v>
      </c>
      <c r="B188" s="26">
        <v>30</v>
      </c>
      <c r="C188">
        <f t="shared" si="5"/>
        <v>600095936</v>
      </c>
    </row>
    <row r="189" spans="1:7">
      <c r="A189" s="26">
        <v>188</v>
      </c>
      <c r="B189" s="26">
        <v>30</v>
      </c>
      <c r="C189">
        <f t="shared" si="5"/>
        <v>660105530</v>
      </c>
    </row>
    <row r="190" spans="1:7">
      <c r="A190" s="26">
        <v>189</v>
      </c>
      <c r="B190" s="26">
        <v>30</v>
      </c>
      <c r="C190">
        <f t="shared" si="5"/>
        <v>726116083</v>
      </c>
    </row>
    <row r="191" spans="1:7">
      <c r="A191" s="26">
        <v>190</v>
      </c>
      <c r="B191" s="26">
        <v>30</v>
      </c>
      <c r="C191">
        <f t="shared" si="5"/>
        <v>798727691</v>
      </c>
      <c r="F191">
        <v>1</v>
      </c>
      <c r="G191">
        <f>C191*B191</f>
        <v>23961830730</v>
      </c>
    </row>
    <row r="192" spans="1:7">
      <c r="A192" s="26">
        <v>191</v>
      </c>
      <c r="B192" s="26">
        <v>30</v>
      </c>
      <c r="C192">
        <f t="shared" si="5"/>
        <v>878600460</v>
      </c>
    </row>
    <row r="193" spans="1:7">
      <c r="A193" s="26">
        <v>192</v>
      </c>
      <c r="B193" s="26">
        <v>30</v>
      </c>
      <c r="C193">
        <f t="shared" si="5"/>
        <v>966460506</v>
      </c>
    </row>
    <row r="194" spans="1:7">
      <c r="A194" s="26">
        <v>193</v>
      </c>
      <c r="B194" s="26">
        <v>30</v>
      </c>
      <c r="C194">
        <f t="shared" si="5"/>
        <v>1063106557</v>
      </c>
    </row>
    <row r="195" spans="1:7">
      <c r="A195" s="26">
        <v>194</v>
      </c>
      <c r="B195" s="26">
        <v>30</v>
      </c>
      <c r="C195">
        <f t="shared" ref="C195:C201" si="6">ROUNDUP($C$2*(1+0.1)^(A195-1),0)</f>
        <v>1169417212</v>
      </c>
    </row>
    <row r="196" spans="1:7">
      <c r="A196" s="26">
        <v>195</v>
      </c>
      <c r="B196" s="26">
        <v>30</v>
      </c>
      <c r="C196">
        <f t="shared" si="6"/>
        <v>1286358933</v>
      </c>
      <c r="D196">
        <v>2</v>
      </c>
      <c r="E196">
        <f>ROUNDDOWN(C196*B196/2,0)</f>
        <v>19295383995</v>
      </c>
    </row>
    <row r="197" spans="1:7">
      <c r="A197" s="26">
        <v>196</v>
      </c>
      <c r="B197" s="26">
        <v>30</v>
      </c>
      <c r="C197">
        <f t="shared" si="6"/>
        <v>1414994827</v>
      </c>
    </row>
    <row r="198" spans="1:7">
      <c r="A198" s="26">
        <v>197</v>
      </c>
      <c r="B198" s="26">
        <v>30</v>
      </c>
      <c r="C198">
        <f t="shared" si="6"/>
        <v>1556494309</v>
      </c>
    </row>
    <row r="199" spans="1:7">
      <c r="A199" s="26">
        <v>198</v>
      </c>
      <c r="B199" s="26">
        <v>30</v>
      </c>
      <c r="C199">
        <f t="shared" si="6"/>
        <v>1712143740</v>
      </c>
    </row>
    <row r="200" spans="1:7">
      <c r="A200" s="26">
        <v>199</v>
      </c>
      <c r="B200" s="26">
        <v>30</v>
      </c>
      <c r="C200">
        <f t="shared" si="6"/>
        <v>1883358114</v>
      </c>
    </row>
    <row r="201" spans="1:7">
      <c r="A201" s="26">
        <v>200</v>
      </c>
      <c r="B201" s="26">
        <v>30</v>
      </c>
      <c r="C201">
        <f t="shared" si="6"/>
        <v>2071693926</v>
      </c>
      <c r="F201">
        <v>1</v>
      </c>
      <c r="G201">
        <f>C201*B201</f>
        <v>62150817780</v>
      </c>
    </row>
    <row r="202" spans="1:7">
      <c r="A202" s="26"/>
      <c r="B202" s="26"/>
      <c r="C202" s="26"/>
    </row>
    <row r="203" spans="1:7">
      <c r="A203" s="26"/>
      <c r="B203" s="26"/>
      <c r="C203" s="26"/>
    </row>
    <row r="204" spans="1:7">
      <c r="A204" s="26"/>
      <c r="B204" s="26"/>
      <c r="C204" s="26"/>
    </row>
    <row r="205" spans="1:7">
      <c r="A205" s="26"/>
      <c r="B205" s="26"/>
      <c r="C205" s="26"/>
    </row>
    <row r="206" spans="1:7">
      <c r="A206" s="26"/>
      <c r="B206" s="26"/>
      <c r="C206" s="26"/>
    </row>
    <row r="207" spans="1:7">
      <c r="A207" s="26"/>
      <c r="B207" s="26"/>
      <c r="C207" s="26"/>
    </row>
    <row r="208" spans="1:7">
      <c r="A208" s="26"/>
      <c r="B208" s="26"/>
      <c r="C208" s="26"/>
    </row>
    <row r="209" spans="1:3">
      <c r="A209" s="26"/>
      <c r="B209" s="26"/>
      <c r="C209" s="26"/>
    </row>
    <row r="210" spans="1:3">
      <c r="A210" s="26"/>
      <c r="B210" s="26"/>
      <c r="C210" s="26"/>
    </row>
    <row r="211" spans="1:3">
      <c r="A211" s="26"/>
      <c r="B211" s="26"/>
      <c r="C211" s="26"/>
    </row>
    <row r="212" spans="1:3">
      <c r="A212" s="26"/>
      <c r="B212" s="26"/>
      <c r="C212" s="26"/>
    </row>
    <row r="213" spans="1:3">
      <c r="A213" s="26"/>
      <c r="B213" s="26"/>
      <c r="C213" s="26"/>
    </row>
    <row r="214" spans="1:3">
      <c r="A214" s="26"/>
      <c r="B214" s="26"/>
      <c r="C214" s="26"/>
    </row>
    <row r="215" spans="1:3">
      <c r="A215" s="26"/>
      <c r="B215" s="26"/>
      <c r="C215" s="26"/>
    </row>
    <row r="216" spans="1:3">
      <c r="A216" s="26"/>
      <c r="B216" s="26"/>
      <c r="C216" s="26"/>
    </row>
    <row r="217" spans="1:3">
      <c r="A217" s="26"/>
      <c r="B217" s="26"/>
      <c r="C217" s="26"/>
    </row>
    <row r="218" spans="1:3">
      <c r="A218" s="26"/>
      <c r="B218" s="26"/>
      <c r="C218" s="26"/>
    </row>
    <row r="219" spans="1:3">
      <c r="A219" s="26"/>
      <c r="B219" s="26"/>
      <c r="C219" s="26"/>
    </row>
    <row r="220" spans="1:3">
      <c r="A220" s="26"/>
      <c r="B220" s="26"/>
      <c r="C220" s="26"/>
    </row>
    <row r="221" spans="1:3">
      <c r="A221" s="26"/>
      <c r="B221" s="26"/>
      <c r="C221" s="26"/>
    </row>
    <row r="222" spans="1:3">
      <c r="A222" s="26"/>
      <c r="B222" s="26"/>
      <c r="C222" s="26"/>
    </row>
    <row r="223" spans="1:3">
      <c r="A223" s="26"/>
      <c r="B223" s="26"/>
      <c r="C223" s="26"/>
    </row>
    <row r="224" spans="1:3">
      <c r="A224" s="26"/>
      <c r="B224" s="26"/>
      <c r="C224" s="26"/>
    </row>
    <row r="225" spans="1:3">
      <c r="A225" s="26"/>
      <c r="B225" s="26"/>
      <c r="C225" s="26"/>
    </row>
    <row r="226" spans="1:3">
      <c r="A226" s="26"/>
      <c r="B226" s="26"/>
      <c r="C226" s="26"/>
    </row>
    <row r="227" spans="1:3">
      <c r="A227" s="26"/>
      <c r="B227" s="26"/>
      <c r="C227" s="26"/>
    </row>
    <row r="228" spans="1:3">
      <c r="A228" s="26"/>
      <c r="B228" s="26"/>
      <c r="C228" s="26"/>
    </row>
    <row r="229" spans="1:3">
      <c r="A229" s="26"/>
      <c r="B229" s="26"/>
      <c r="C229" s="26"/>
    </row>
    <row r="230" spans="1:3">
      <c r="A230" s="26"/>
      <c r="B230" s="26"/>
      <c r="C230" s="26"/>
    </row>
    <row r="231" spans="1:3">
      <c r="A231" s="26"/>
      <c r="B231" s="26"/>
      <c r="C231" s="26"/>
    </row>
    <row r="232" spans="1:3">
      <c r="A232" s="26"/>
      <c r="B232" s="26"/>
      <c r="C232" s="26"/>
    </row>
    <row r="233" spans="1:3">
      <c r="A233" s="26"/>
      <c r="B233" s="26"/>
      <c r="C233" s="26"/>
    </row>
    <row r="234" spans="1:3">
      <c r="A234" s="26"/>
      <c r="B234" s="26"/>
      <c r="C234" s="26"/>
    </row>
    <row r="235" spans="1:3">
      <c r="A235" s="26"/>
      <c r="B235" s="26"/>
      <c r="C235" s="26"/>
    </row>
    <row r="236" spans="1:3">
      <c r="A236" s="26"/>
      <c r="B236" s="26"/>
      <c r="C236" s="26"/>
    </row>
    <row r="237" spans="1:3">
      <c r="A237" s="26"/>
      <c r="B237" s="26"/>
      <c r="C237" s="26"/>
    </row>
    <row r="238" spans="1:3">
      <c r="A238" s="26"/>
      <c r="B238" s="26"/>
      <c r="C238" s="26"/>
    </row>
    <row r="239" spans="1:3">
      <c r="A239" s="26"/>
      <c r="B239" s="26"/>
      <c r="C239" s="26"/>
    </row>
    <row r="240" spans="1:3">
      <c r="A240" s="26"/>
      <c r="B240" s="26"/>
      <c r="C240" s="26"/>
    </row>
    <row r="241" spans="1:3">
      <c r="A241" s="26"/>
      <c r="B241" s="26"/>
      <c r="C241" s="26"/>
    </row>
    <row r="242" spans="1:3">
      <c r="A242" s="26"/>
      <c r="B242" s="26"/>
      <c r="C242" s="26"/>
    </row>
    <row r="243" spans="1:3">
      <c r="A243" s="26"/>
      <c r="B243" s="26"/>
      <c r="C243" s="26"/>
    </row>
    <row r="244" spans="1:3">
      <c r="A244" s="26"/>
      <c r="B244" s="26"/>
      <c r="C244" s="26"/>
    </row>
    <row r="245" spans="1:3">
      <c r="A245" s="26"/>
      <c r="B245" s="26"/>
      <c r="C245" s="26"/>
    </row>
    <row r="246" spans="1:3">
      <c r="A246" s="26"/>
      <c r="B246" s="26"/>
      <c r="C246" s="26"/>
    </row>
    <row r="247" spans="1:3">
      <c r="A247" s="26"/>
      <c r="B247" s="26"/>
      <c r="C247" s="26"/>
    </row>
    <row r="248" spans="1:3">
      <c r="A248" s="26"/>
      <c r="B248" s="26"/>
      <c r="C248" s="26"/>
    </row>
    <row r="249" spans="1:3">
      <c r="A249" s="26"/>
      <c r="B249" s="26"/>
      <c r="C249" s="26"/>
    </row>
    <row r="250" spans="1:3">
      <c r="A250" s="26"/>
      <c r="B250" s="26"/>
      <c r="C250" s="26"/>
    </row>
    <row r="251" spans="1:3">
      <c r="A251" s="26"/>
      <c r="B251" s="26"/>
      <c r="C251" s="26"/>
    </row>
    <row r="252" spans="1:3">
      <c r="A252" s="26"/>
      <c r="B252" s="26"/>
      <c r="C252" s="26"/>
    </row>
    <row r="253" spans="1:3">
      <c r="A253" s="26"/>
      <c r="B253" s="26"/>
      <c r="C253" s="26"/>
    </row>
    <row r="254" spans="1:3">
      <c r="A254" s="26"/>
      <c r="B254" s="26"/>
      <c r="C254" s="26"/>
    </row>
    <row r="255" spans="1:3">
      <c r="A255" s="26"/>
      <c r="B255" s="26"/>
      <c r="C255" s="26"/>
    </row>
    <row r="256" spans="1:3">
      <c r="A256" s="26"/>
      <c r="B256" s="26"/>
      <c r="C256" s="26"/>
    </row>
    <row r="257" spans="1:3">
      <c r="A257" s="26"/>
      <c r="B257" s="26"/>
      <c r="C257" s="26"/>
    </row>
    <row r="258" spans="1:3">
      <c r="A258" s="26"/>
      <c r="B258" s="26"/>
      <c r="C258" s="26"/>
    </row>
    <row r="259" spans="1:3">
      <c r="A259" s="26"/>
      <c r="B259" s="26"/>
      <c r="C259" s="26"/>
    </row>
    <row r="260" spans="1:3">
      <c r="A260" s="26"/>
      <c r="B260" s="26"/>
      <c r="C260" s="26"/>
    </row>
    <row r="261" spans="1:3">
      <c r="A261" s="26"/>
      <c r="B261" s="26"/>
      <c r="C261" s="26"/>
    </row>
    <row r="262" spans="1:3">
      <c r="A262" s="26"/>
      <c r="B262" s="26"/>
      <c r="C262" s="26"/>
    </row>
    <row r="263" spans="1:3">
      <c r="A263" s="26"/>
      <c r="B263" s="26"/>
      <c r="C263" s="26"/>
    </row>
    <row r="264" spans="1:3">
      <c r="A264" s="26"/>
      <c r="B264" s="26"/>
      <c r="C264" s="26"/>
    </row>
    <row r="265" spans="1:3">
      <c r="A265" s="26"/>
      <c r="B265" s="26"/>
      <c r="C265" s="26"/>
    </row>
    <row r="266" spans="1:3">
      <c r="A266" s="26"/>
      <c r="B266" s="26"/>
      <c r="C266" s="26"/>
    </row>
    <row r="267" spans="1:3">
      <c r="A267" s="26"/>
      <c r="B267" s="26"/>
      <c r="C267" s="26"/>
    </row>
    <row r="268" spans="1:3">
      <c r="A268" s="26"/>
      <c r="B268" s="26"/>
      <c r="C268" s="26"/>
    </row>
    <row r="269" spans="1:3">
      <c r="A269" s="26"/>
      <c r="B269" s="26"/>
      <c r="C269" s="26"/>
    </row>
    <row r="270" spans="1:3">
      <c r="A270" s="26"/>
      <c r="B270" s="26"/>
      <c r="C270" s="26"/>
    </row>
    <row r="271" spans="1:3">
      <c r="A271" s="26"/>
      <c r="B271" s="26"/>
      <c r="C271" s="26"/>
    </row>
    <row r="272" spans="1:3">
      <c r="A272" s="26"/>
      <c r="B272" s="26"/>
      <c r="C272" s="26"/>
    </row>
    <row r="273" spans="1:3">
      <c r="A273" s="26"/>
      <c r="B273" s="26"/>
      <c r="C273" s="26"/>
    </row>
    <row r="274" spans="1:3">
      <c r="A274" s="26"/>
      <c r="B274" s="26"/>
      <c r="C274" s="26"/>
    </row>
    <row r="275" spans="1:3">
      <c r="A275" s="26"/>
      <c r="B275" s="26"/>
      <c r="C275" s="26"/>
    </row>
    <row r="276" spans="1:3">
      <c r="A276" s="26"/>
      <c r="B276" s="26"/>
      <c r="C276" s="26"/>
    </row>
    <row r="277" spans="1:3">
      <c r="A277" s="26"/>
      <c r="B277" s="26"/>
      <c r="C277" s="26"/>
    </row>
    <row r="278" spans="1:3">
      <c r="A278" s="26"/>
      <c r="B278" s="26"/>
      <c r="C278" s="26"/>
    </row>
    <row r="279" spans="1:3">
      <c r="A279" s="26"/>
      <c r="B279" s="26"/>
      <c r="C279" s="26"/>
    </row>
    <row r="280" spans="1:3">
      <c r="A280" s="26"/>
      <c r="B280" s="26"/>
      <c r="C280" s="26"/>
    </row>
    <row r="281" spans="1:3">
      <c r="A281" s="26"/>
      <c r="B281" s="26"/>
      <c r="C281" s="26"/>
    </row>
    <row r="282" spans="1:3">
      <c r="A282" s="26"/>
      <c r="B282" s="26"/>
      <c r="C282" s="26"/>
    </row>
    <row r="283" spans="1:3">
      <c r="A283" s="26"/>
      <c r="B283" s="26"/>
      <c r="C283" s="26"/>
    </row>
    <row r="284" spans="1:3">
      <c r="A284" s="26"/>
      <c r="B284" s="26"/>
      <c r="C284" s="26"/>
    </row>
    <row r="285" spans="1:3">
      <c r="A285" s="26"/>
      <c r="B285" s="26"/>
      <c r="C285" s="26"/>
    </row>
    <row r="286" spans="1:3">
      <c r="A286" s="26"/>
      <c r="B286" s="26"/>
      <c r="C286" s="26"/>
    </row>
    <row r="287" spans="1:3">
      <c r="A287" s="26"/>
      <c r="B287" s="26"/>
      <c r="C287" s="26"/>
    </row>
    <row r="288" spans="1:3">
      <c r="A288" s="26"/>
      <c r="B288" s="26"/>
      <c r="C288" s="26"/>
    </row>
    <row r="289" spans="1:3">
      <c r="A289" s="26"/>
      <c r="B289" s="26"/>
      <c r="C289" s="26"/>
    </row>
    <row r="290" spans="1:3">
      <c r="A290" s="26"/>
      <c r="B290" s="26"/>
      <c r="C290" s="26"/>
    </row>
    <row r="291" spans="1:3">
      <c r="A291" s="26"/>
      <c r="B291" s="26"/>
      <c r="C291" s="26"/>
    </row>
    <row r="292" spans="1:3">
      <c r="A292" s="26"/>
      <c r="B292" s="26"/>
      <c r="C292" s="26"/>
    </row>
    <row r="293" spans="1:3">
      <c r="A293" s="26"/>
      <c r="B293" s="26"/>
      <c r="C293" s="26"/>
    </row>
    <row r="294" spans="1:3">
      <c r="A294" s="26"/>
      <c r="B294" s="26"/>
      <c r="C294" s="26"/>
    </row>
    <row r="295" spans="1:3">
      <c r="A295" s="26"/>
      <c r="B295" s="26"/>
      <c r="C295" s="26"/>
    </row>
    <row r="296" spans="1:3">
      <c r="A296" s="26"/>
      <c r="B296" s="26"/>
      <c r="C296" s="26"/>
    </row>
    <row r="297" spans="1:3">
      <c r="A297" s="26"/>
      <c r="B297" s="26"/>
      <c r="C297" s="26"/>
    </row>
    <row r="298" spans="1:3">
      <c r="A298" s="26"/>
      <c r="B298" s="26"/>
      <c r="C298" s="26"/>
    </row>
    <row r="299" spans="1:3">
      <c r="A299" s="26"/>
      <c r="B299" s="26"/>
      <c r="C299" s="26"/>
    </row>
    <row r="300" spans="1:3">
      <c r="A300" s="26"/>
      <c r="B300" s="26"/>
      <c r="C300" s="26"/>
    </row>
    <row r="301" spans="1:3">
      <c r="A301" s="26"/>
      <c r="B301" s="26"/>
      <c r="C301" s="26"/>
    </row>
    <row r="302" spans="1:3">
      <c r="A302" s="26"/>
    </row>
    <row r="303" spans="1:3">
      <c r="A303" s="26"/>
    </row>
    <row r="304" spans="1:3">
      <c r="A304" s="26"/>
    </row>
    <row r="305" spans="1:1">
      <c r="A305" s="26"/>
    </row>
    <row r="306" spans="1:1">
      <c r="A306" s="26"/>
    </row>
    <row r="307" spans="1:1">
      <c r="A307" s="26"/>
    </row>
    <row r="308" spans="1:1">
      <c r="A308" s="26"/>
    </row>
    <row r="309" spans="1:1">
      <c r="A309" s="26"/>
    </row>
    <row r="310" spans="1:1">
      <c r="A310" s="26"/>
    </row>
    <row r="311" spans="1:1">
      <c r="A311" s="26"/>
    </row>
    <row r="312" spans="1:1">
      <c r="A312" s="26"/>
    </row>
    <row r="313" spans="1:1">
      <c r="A313" s="26"/>
    </row>
    <row r="314" spans="1:1">
      <c r="A314" s="26"/>
    </row>
    <row r="315" spans="1:1">
      <c r="A315" s="26"/>
    </row>
    <row r="316" spans="1:1">
      <c r="A316" s="26"/>
    </row>
    <row r="317" spans="1:1">
      <c r="A317" s="26"/>
    </row>
    <row r="318" spans="1:1">
      <c r="A318" s="26"/>
    </row>
    <row r="319" spans="1:1">
      <c r="A319" s="26"/>
    </row>
    <row r="320" spans="1:1">
      <c r="A320" s="26"/>
    </row>
    <row r="321" spans="1:1">
      <c r="A321" s="26"/>
    </row>
    <row r="322" spans="1:1">
      <c r="A322" s="26"/>
    </row>
    <row r="323" spans="1:1">
      <c r="A323" s="26"/>
    </row>
    <row r="324" spans="1:1">
      <c r="A324" s="26"/>
    </row>
    <row r="325" spans="1:1">
      <c r="A325" s="26"/>
    </row>
    <row r="326" spans="1:1">
      <c r="A326" s="26"/>
    </row>
    <row r="327" spans="1:1">
      <c r="A327" s="26"/>
    </row>
    <row r="328" spans="1:1">
      <c r="A328" s="26"/>
    </row>
    <row r="329" spans="1:1">
      <c r="A329" s="26"/>
    </row>
    <row r="330" spans="1:1">
      <c r="A330" s="26"/>
    </row>
    <row r="331" spans="1:1">
      <c r="A331" s="26"/>
    </row>
    <row r="332" spans="1:1">
      <c r="A332" s="26"/>
    </row>
    <row r="333" spans="1:1">
      <c r="A333" s="26"/>
    </row>
    <row r="334" spans="1:1">
      <c r="A334" s="26"/>
    </row>
    <row r="335" spans="1:1">
      <c r="A335" s="26"/>
    </row>
    <row r="336" spans="1:1">
      <c r="A336" s="26"/>
    </row>
    <row r="337" spans="1:1">
      <c r="A337" s="26"/>
    </row>
    <row r="338" spans="1:1">
      <c r="A338" s="26"/>
    </row>
    <row r="339" spans="1:1">
      <c r="A339" s="26"/>
    </row>
    <row r="340" spans="1:1">
      <c r="A340" s="26"/>
    </row>
    <row r="341" spans="1:1">
      <c r="A341" s="26"/>
    </row>
    <row r="342" spans="1:1">
      <c r="A342" s="26"/>
    </row>
    <row r="343" spans="1:1">
      <c r="A343" s="26"/>
    </row>
    <row r="344" spans="1:1">
      <c r="A344" s="26"/>
    </row>
    <row r="345" spans="1:1">
      <c r="A345" s="26"/>
    </row>
    <row r="346" spans="1:1">
      <c r="A346" s="26"/>
    </row>
    <row r="347" spans="1:1">
      <c r="A347" s="26"/>
    </row>
    <row r="348" spans="1:1">
      <c r="A348" s="26"/>
    </row>
    <row r="349" spans="1:1">
      <c r="A349" s="26"/>
    </row>
    <row r="350" spans="1:1">
      <c r="A350" s="26"/>
    </row>
    <row r="351" spans="1:1">
      <c r="A351" s="26"/>
    </row>
    <row r="352" spans="1:1">
      <c r="A352" s="26"/>
    </row>
    <row r="353" spans="1:1">
      <c r="A353" s="26"/>
    </row>
    <row r="354" spans="1:1">
      <c r="A354" s="26"/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G15" sqref="G15"/>
    </sheetView>
  </sheetViews>
  <sheetFormatPr defaultRowHeight="14.25"/>
  <cols>
    <col min="1" max="1" width="22.25" style="26" bestFit="1" customWidth="1"/>
    <col min="2" max="2" width="9.375" style="26" customWidth="1"/>
    <col min="3" max="6" width="9" style="26" customWidth="1"/>
    <col min="7" max="7" width="11.75" style="26" bestFit="1" customWidth="1"/>
    <col min="8" max="9" width="9" style="26" customWidth="1"/>
    <col min="10" max="16384" width="9" style="26"/>
  </cols>
  <sheetData>
    <row r="1" spans="1:9">
      <c r="A1" s="26" t="s">
        <v>105</v>
      </c>
      <c r="B1" s="26">
        <v>1</v>
      </c>
      <c r="C1" s="26">
        <v>2</v>
      </c>
      <c r="D1" s="26">
        <v>3</v>
      </c>
      <c r="E1" s="26">
        <v>4</v>
      </c>
      <c r="H1" s="26" t="s">
        <v>106</v>
      </c>
      <c r="I1" s="26" t="s">
        <v>107</v>
      </c>
    </row>
    <row r="2" spans="1:9">
      <c r="A2" s="26">
        <v>1</v>
      </c>
      <c r="B2" s="38">
        <f>C2+C3</f>
        <v>684</v>
      </c>
      <c r="C2" s="38">
        <f t="shared" ref="C2:C7" si="0">ROUNDDOWN(C3+(2400*2/8 - 250*2)/7,0)</f>
        <v>349</v>
      </c>
      <c r="D2" s="38">
        <f t="shared" ref="D2:D11" si="1">ROUNDDOWN(D3+(2400*2/12 - 150*2)/11,0)</f>
        <v>249</v>
      </c>
      <c r="E2" s="38">
        <f t="shared" ref="E2:E15" si="2">ROUNDDOWN(E3+(2400*2/16 - 100*2)/15,0)</f>
        <v>195</v>
      </c>
      <c r="G2" s="26" t="s">
        <v>108</v>
      </c>
      <c r="H2" s="26">
        <v>4</v>
      </c>
      <c r="I2" s="26">
        <v>25</v>
      </c>
    </row>
    <row r="3" spans="1:9">
      <c r="A3" s="26">
        <v>2</v>
      </c>
      <c r="B3" s="38">
        <f>C4+C5</f>
        <v>628</v>
      </c>
      <c r="C3" s="38">
        <f t="shared" si="0"/>
        <v>335</v>
      </c>
      <c r="D3" s="38">
        <f t="shared" si="1"/>
        <v>240</v>
      </c>
      <c r="E3" s="38">
        <f t="shared" si="2"/>
        <v>189</v>
      </c>
    </row>
    <row r="4" spans="1:9">
      <c r="A4" s="26">
        <v>3</v>
      </c>
      <c r="B4" s="38">
        <f>C6+C7</f>
        <v>572</v>
      </c>
      <c r="C4" s="38">
        <f t="shared" si="0"/>
        <v>321</v>
      </c>
      <c r="D4" s="38">
        <f t="shared" si="1"/>
        <v>231</v>
      </c>
      <c r="E4" s="38">
        <f t="shared" si="2"/>
        <v>183</v>
      </c>
    </row>
    <row r="5" spans="1:9">
      <c r="A5" s="26">
        <v>4</v>
      </c>
      <c r="B5" s="38">
        <f>C8+C9</f>
        <v>516</v>
      </c>
      <c r="C5" s="38">
        <f t="shared" si="0"/>
        <v>307</v>
      </c>
      <c r="D5" s="38">
        <f t="shared" si="1"/>
        <v>222</v>
      </c>
      <c r="E5" s="38">
        <f t="shared" si="2"/>
        <v>177</v>
      </c>
    </row>
    <row r="6" spans="1:9">
      <c r="A6" s="26">
        <v>5</v>
      </c>
      <c r="B6" s="38"/>
      <c r="C6" s="38">
        <f t="shared" si="0"/>
        <v>293</v>
      </c>
      <c r="D6" s="38">
        <f t="shared" si="1"/>
        <v>213</v>
      </c>
      <c r="E6" s="38">
        <f t="shared" si="2"/>
        <v>171</v>
      </c>
    </row>
    <row r="7" spans="1:9">
      <c r="A7" s="26">
        <v>6</v>
      </c>
      <c r="B7" s="38"/>
      <c r="C7" s="38">
        <f t="shared" si="0"/>
        <v>279</v>
      </c>
      <c r="D7" s="38">
        <f t="shared" si="1"/>
        <v>204</v>
      </c>
      <c r="E7" s="38">
        <f t="shared" si="2"/>
        <v>165</v>
      </c>
    </row>
    <row r="8" spans="1:9">
      <c r="A8" s="26">
        <v>7</v>
      </c>
      <c r="B8" s="38"/>
      <c r="C8" s="38">
        <f>ROUNDDOWN(C9+(2400*2/8 - 250*2)/7,0)</f>
        <v>265</v>
      </c>
      <c r="D8" s="38">
        <f t="shared" si="1"/>
        <v>195</v>
      </c>
      <c r="E8" s="38">
        <f t="shared" si="2"/>
        <v>159</v>
      </c>
    </row>
    <row r="9" spans="1:9">
      <c r="A9" s="26">
        <v>8</v>
      </c>
      <c r="B9" s="38"/>
      <c r="C9" s="38">
        <v>251</v>
      </c>
      <c r="D9" s="38">
        <f t="shared" si="1"/>
        <v>186</v>
      </c>
      <c r="E9" s="38">
        <f t="shared" si="2"/>
        <v>153</v>
      </c>
    </row>
    <row r="10" spans="1:9">
      <c r="A10" s="26">
        <v>9</v>
      </c>
      <c r="B10" s="38"/>
      <c r="C10" s="38"/>
      <c r="D10" s="38">
        <f t="shared" si="1"/>
        <v>177</v>
      </c>
      <c r="E10" s="38">
        <f t="shared" si="2"/>
        <v>147</v>
      </c>
    </row>
    <row r="11" spans="1:9">
      <c r="A11" s="26">
        <v>10</v>
      </c>
      <c r="B11" s="38"/>
      <c r="C11" s="38"/>
      <c r="D11" s="38">
        <f t="shared" si="1"/>
        <v>168</v>
      </c>
      <c r="E11" s="38">
        <f t="shared" si="2"/>
        <v>141</v>
      </c>
    </row>
    <row r="12" spans="1:9">
      <c r="A12" s="26">
        <v>11</v>
      </c>
      <c r="B12" s="38"/>
      <c r="C12" s="38"/>
      <c r="D12" s="38">
        <f>ROUNDDOWN(D13+(2400*2/12 - 150*2)/11,0)</f>
        <v>159</v>
      </c>
      <c r="E12" s="38">
        <f t="shared" si="2"/>
        <v>135</v>
      </c>
    </row>
    <row r="13" spans="1:9">
      <c r="A13" s="26">
        <v>12</v>
      </c>
      <c r="B13" s="38"/>
      <c r="C13" s="38"/>
      <c r="D13" s="38">
        <v>150</v>
      </c>
      <c r="E13" s="38">
        <f t="shared" si="2"/>
        <v>129</v>
      </c>
    </row>
    <row r="14" spans="1:9">
      <c r="A14" s="26">
        <v>13</v>
      </c>
      <c r="B14" s="38"/>
      <c r="C14" s="38"/>
      <c r="D14" s="38"/>
      <c r="E14" s="38">
        <f t="shared" si="2"/>
        <v>123</v>
      </c>
    </row>
    <row r="15" spans="1:9">
      <c r="A15" s="26">
        <v>14</v>
      </c>
      <c r="B15" s="38"/>
      <c r="C15" s="38"/>
      <c r="D15" s="38"/>
      <c r="E15" s="38">
        <f t="shared" si="2"/>
        <v>117</v>
      </c>
    </row>
    <row r="16" spans="1:9">
      <c r="A16" s="26">
        <v>15</v>
      </c>
      <c r="B16" s="38"/>
      <c r="C16" s="38"/>
      <c r="D16" s="38"/>
      <c r="E16" s="38">
        <f>ROUNDDOWN(E17+(2400*2/16 - 100*2)/15,0)</f>
        <v>111</v>
      </c>
    </row>
    <row r="17" spans="1:5">
      <c r="A17" s="26">
        <v>16</v>
      </c>
      <c r="B17" s="38"/>
      <c r="C17" s="38"/>
      <c r="D17" s="38"/>
      <c r="E17" s="38">
        <v>105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9" sqref="D19"/>
    </sheetView>
  </sheetViews>
  <sheetFormatPr defaultRowHeight="14.25"/>
  <cols>
    <col min="1" max="1" width="46" style="25" customWidth="1"/>
    <col min="2" max="2" width="9" style="24" customWidth="1"/>
  </cols>
  <sheetData>
    <row r="1" spans="1:2">
      <c r="A1" t="s">
        <v>109</v>
      </c>
      <c r="B1" s="24">
        <v>200</v>
      </c>
    </row>
    <row r="2" spans="1:2">
      <c r="A2" t="s">
        <v>110</v>
      </c>
      <c r="B2" s="24">
        <f>(144+180)/2+((50+50)*4+100)/5</f>
        <v>262</v>
      </c>
    </row>
    <row r="3" spans="1:2">
      <c r="A3" t="s">
        <v>111</v>
      </c>
      <c r="B3" s="24">
        <f>ROUNDUP((50*0.2+150*0.35+300*0.45),0)</f>
        <v>198</v>
      </c>
    </row>
    <row r="4" spans="1:2">
      <c r="A4" t="s">
        <v>112</v>
      </c>
      <c r="B4" s="24">
        <f>(B2+B3)*0.8/B1*3600</f>
        <v>6624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属性及攻击伤害</vt:lpstr>
      <vt:lpstr>天赋设定</vt:lpstr>
      <vt:lpstr>关卡模式怪物属性</vt:lpstr>
      <vt:lpstr>无尽模式怪物属性</vt:lpstr>
      <vt:lpstr>局内升级</vt:lpstr>
      <vt:lpstr>金币收益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2015-06-05T18:19:34Z</dcterms:created>
  <dcterms:modified xsi:type="dcterms:W3CDTF">2026-07-27T06:39:51Z</dcterms:modified>
</cp:coreProperties>
</file>